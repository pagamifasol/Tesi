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Matteo.Paganini\Desktop\DataEngineering\MasterDegree_Thesis_Material\"/>
    </mc:Choice>
  </mc:AlternateContent>
  <xr:revisionPtr revIDLastSave="0" documentId="13_ncr:1_{2800A8F5-8382-4193-95EE-774D8FAE5633}" xr6:coauthVersionLast="47" xr6:coauthVersionMax="47" xr10:uidLastSave="{00000000-0000-0000-0000-000000000000}"/>
  <bookViews>
    <workbookView xWindow="-120" yWindow="-120" windowWidth="29040" windowHeight="15840" tabRatio="825" activeTab="9" xr2:uid="{00000000-000D-0000-FFFF-FFFF00000000}"/>
  </bookViews>
  <sheets>
    <sheet name="Front_5Hz" sheetId="17" r:id="rId1"/>
    <sheet name="Front_7Hz" sheetId="19" r:id="rId2"/>
    <sheet name="Front_9Hz" sheetId="18" r:id="rId3"/>
    <sheet name="Rear_4Hz" sheetId="20" r:id="rId4"/>
    <sheet name="Rear_6Hz" sheetId="21" r:id="rId5"/>
    <sheet name="Rear_8Hz" sheetId="22" r:id="rId6"/>
    <sheet name="Template" sheetId="16" r:id="rId7"/>
    <sheet name="VI-Grade_settings" sheetId="23" r:id="rId8"/>
    <sheet name="Canopy_Matching" sheetId="24" r:id="rId9"/>
    <sheet name="Rear_6Hz (2)" sheetId="2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64" i="25" l="1"/>
  <c r="AF65" i="25"/>
  <c r="AF66" i="25"/>
  <c r="AF67" i="25"/>
  <c r="AF68" i="25"/>
  <c r="AF69" i="25"/>
  <c r="AF70" i="25"/>
  <c r="AF71" i="25"/>
  <c r="AF72" i="25"/>
  <c r="AF73" i="25"/>
  <c r="AF74" i="25"/>
  <c r="AF75" i="25"/>
  <c r="AF76" i="25"/>
  <c r="AF77" i="25"/>
  <c r="R41" i="25"/>
  <c r="R42" i="25"/>
  <c r="R43" i="25"/>
  <c r="R44" i="25"/>
  <c r="R45" i="25"/>
  <c r="R46" i="25"/>
  <c r="R47" i="25"/>
  <c r="R48" i="25"/>
  <c r="R49" i="25"/>
  <c r="R50" i="25"/>
  <c r="R51" i="25"/>
  <c r="R52" i="25"/>
  <c r="R53" i="25"/>
  <c r="R54" i="25"/>
  <c r="R40" i="25"/>
  <c r="P26" i="25"/>
  <c r="Q64" i="25" l="1"/>
  <c r="P64" i="25"/>
  <c r="Q63" i="25"/>
  <c r="P63" i="25"/>
  <c r="Q62" i="25"/>
  <c r="P62" i="25"/>
  <c r="Q61" i="25"/>
  <c r="P61" i="25"/>
  <c r="Q60" i="25"/>
  <c r="P60" i="25"/>
  <c r="Q59" i="25"/>
  <c r="P59" i="25"/>
  <c r="Q58" i="25"/>
  <c r="P58" i="25"/>
  <c r="Q57" i="25"/>
  <c r="P57" i="25"/>
  <c r="Q56" i="25"/>
  <c r="P56" i="25"/>
  <c r="Q55" i="25"/>
  <c r="P55" i="25"/>
  <c r="Q54" i="25"/>
  <c r="P54" i="25"/>
  <c r="AT53" i="25"/>
  <c r="Q53" i="25"/>
  <c r="P53" i="25"/>
  <c r="AT52" i="25"/>
  <c r="Q52" i="25"/>
  <c r="P52" i="25"/>
  <c r="AT51" i="25"/>
  <c r="Q51" i="25"/>
  <c r="P51" i="25"/>
  <c r="AT50" i="25"/>
  <c r="Q50" i="25"/>
  <c r="P50" i="25"/>
  <c r="AT49" i="25"/>
  <c r="Q49" i="25"/>
  <c r="P49" i="25"/>
  <c r="AT48" i="25"/>
  <c r="Q48" i="25"/>
  <c r="P48" i="25"/>
  <c r="AT47" i="25"/>
  <c r="Q47" i="25"/>
  <c r="P47" i="25"/>
  <c r="AT46" i="25"/>
  <c r="Q46" i="25"/>
  <c r="P46" i="25"/>
  <c r="AT45" i="25"/>
  <c r="Q45" i="25"/>
  <c r="P45" i="25"/>
  <c r="AT44" i="25"/>
  <c r="Q44" i="25"/>
  <c r="P44" i="25"/>
  <c r="AT43" i="25"/>
  <c r="Q43" i="25"/>
  <c r="P43" i="25"/>
  <c r="AT42" i="25"/>
  <c r="Q42" i="25"/>
  <c r="P42" i="25"/>
  <c r="AT41" i="25"/>
  <c r="Q41" i="25"/>
  <c r="P41" i="25"/>
  <c r="AT40" i="25"/>
  <c r="Q40" i="25"/>
  <c r="Z60" i="25" s="1" a="1"/>
  <c r="Z60" i="25" s="1"/>
  <c r="P40" i="25"/>
  <c r="F40" i="25"/>
  <c r="AT39" i="25"/>
  <c r="Q39" i="25"/>
  <c r="P39" i="25"/>
  <c r="F39" i="25"/>
  <c r="AT38" i="25"/>
  <c r="Q38" i="25"/>
  <c r="P38" i="25"/>
  <c r="AT37" i="25"/>
  <c r="Q37" i="25"/>
  <c r="P37" i="25"/>
  <c r="AT36" i="25"/>
  <c r="Q36" i="25"/>
  <c r="P36" i="25"/>
  <c r="K36" i="25"/>
  <c r="J36" i="25"/>
  <c r="G36" i="25"/>
  <c r="C36" i="25"/>
  <c r="AT35" i="25"/>
  <c r="Q35" i="25"/>
  <c r="P35" i="25"/>
  <c r="J35" i="25"/>
  <c r="K35" i="25" s="1"/>
  <c r="H35" i="25"/>
  <c r="C42" i="25" s="1"/>
  <c r="G35" i="25"/>
  <c r="C35" i="25"/>
  <c r="AT34" i="25"/>
  <c r="Q34" i="25"/>
  <c r="P34" i="25"/>
  <c r="J34" i="25"/>
  <c r="G34" i="25"/>
  <c r="C34" i="25"/>
  <c r="AT33" i="25"/>
  <c r="Q33" i="25"/>
  <c r="P33" i="25"/>
  <c r="J33" i="25"/>
  <c r="J38" i="25" s="1"/>
  <c r="AT32" i="25"/>
  <c r="Q32" i="25"/>
  <c r="P32" i="25"/>
  <c r="AT31" i="25"/>
  <c r="Q31" i="25"/>
  <c r="P31" i="25"/>
  <c r="AT30" i="25"/>
  <c r="Q30" i="25"/>
  <c r="P30" i="25"/>
  <c r="AT29" i="25"/>
  <c r="Q29" i="25"/>
  <c r="P29" i="25"/>
  <c r="AT28" i="25"/>
  <c r="Z28" i="25"/>
  <c r="Y28" i="25"/>
  <c r="Q28" i="25"/>
  <c r="P28" i="25"/>
  <c r="AT27" i="25"/>
  <c r="Z27" i="25"/>
  <c r="Y27" i="25"/>
  <c r="Q27" i="25"/>
  <c r="P27" i="25"/>
  <c r="AT26" i="25"/>
  <c r="Z26" i="25"/>
  <c r="Y26" i="25"/>
  <c r="Q26" i="25"/>
  <c r="AT25" i="25"/>
  <c r="Z25" i="25"/>
  <c r="Y25" i="25"/>
  <c r="Q25" i="25"/>
  <c r="P25" i="25"/>
  <c r="AT24" i="25"/>
  <c r="Z24" i="25"/>
  <c r="Y24" i="25"/>
  <c r="Q24" i="25"/>
  <c r="P24" i="25"/>
  <c r="AT23" i="25"/>
  <c r="Z23" i="25"/>
  <c r="Y23" i="25"/>
  <c r="Q23" i="25"/>
  <c r="P23" i="25"/>
  <c r="G23" i="25"/>
  <c r="F23" i="25"/>
  <c r="AT22" i="25"/>
  <c r="Z22" i="25"/>
  <c r="Y22" i="25"/>
  <c r="Q22" i="25"/>
  <c r="P22" i="25"/>
  <c r="F22" i="25"/>
  <c r="AT21" i="25"/>
  <c r="Z21" i="25"/>
  <c r="Y21" i="25"/>
  <c r="Q21" i="25"/>
  <c r="P21" i="25"/>
  <c r="AT20" i="25"/>
  <c r="Z20" i="25"/>
  <c r="Y20" i="25"/>
  <c r="Q20" i="25"/>
  <c r="P20" i="25"/>
  <c r="AT19" i="25"/>
  <c r="Z19" i="25"/>
  <c r="Y19" i="25"/>
  <c r="Q19" i="25"/>
  <c r="P19" i="25"/>
  <c r="J19" i="25"/>
  <c r="G19" i="25"/>
  <c r="C19" i="25"/>
  <c r="AT18" i="25"/>
  <c r="Z18" i="25"/>
  <c r="Y18" i="25"/>
  <c r="Q18" i="25"/>
  <c r="P18" i="25"/>
  <c r="J18" i="25"/>
  <c r="G18" i="25"/>
  <c r="C18" i="25"/>
  <c r="AT17" i="25"/>
  <c r="Z17" i="25"/>
  <c r="Y17" i="25"/>
  <c r="Q17" i="25"/>
  <c r="P17" i="25"/>
  <c r="J17" i="25"/>
  <c r="J21" i="25" s="1"/>
  <c r="AT16" i="25"/>
  <c r="Z16" i="25"/>
  <c r="Y16" i="25"/>
  <c r="Q16" i="25"/>
  <c r="P16" i="25"/>
  <c r="AT15" i="25"/>
  <c r="Z15" i="25"/>
  <c r="Y15" i="25"/>
  <c r="Q15" i="25"/>
  <c r="P15" i="25"/>
  <c r="AT14" i="25"/>
  <c r="Q14" i="25"/>
  <c r="P14" i="25"/>
  <c r="AT13" i="25"/>
  <c r="W11" i="25"/>
  <c r="W24" i="25" s="1"/>
  <c r="AU8" i="25"/>
  <c r="AT8" i="25"/>
  <c r="AS8" i="25"/>
  <c r="AR8" i="25"/>
  <c r="AP8" i="25"/>
  <c r="AO8" i="25"/>
  <c r="AN8" i="25"/>
  <c r="AM8" i="25"/>
  <c r="AJ8" i="25"/>
  <c r="AH8" i="25"/>
  <c r="AG8" i="25"/>
  <c r="AE8" i="25"/>
  <c r="AU7" i="25"/>
  <c r="AT7" i="25"/>
  <c r="AS7" i="25"/>
  <c r="AR7" i="25"/>
  <c r="AP7" i="25"/>
  <c r="AO7" i="25"/>
  <c r="AN7" i="25"/>
  <c r="AM7" i="25"/>
  <c r="AJ7" i="25"/>
  <c r="AH7" i="25"/>
  <c r="AG7" i="25"/>
  <c r="AE7" i="25"/>
  <c r="AU6" i="25"/>
  <c r="AT6" i="25"/>
  <c r="AS6" i="25"/>
  <c r="AR6" i="25"/>
  <c r="AP6" i="25"/>
  <c r="AO6" i="25"/>
  <c r="AN6" i="25"/>
  <c r="AM6" i="25"/>
  <c r="AJ6" i="25"/>
  <c r="AH6" i="25"/>
  <c r="AG6" i="25"/>
  <c r="H36" i="25" s="1"/>
  <c r="AE6" i="25"/>
  <c r="AU5" i="25"/>
  <c r="AT5" i="25"/>
  <c r="AS5" i="25"/>
  <c r="AR5" i="25"/>
  <c r="AP5" i="25"/>
  <c r="AO5" i="25"/>
  <c r="AN5" i="25"/>
  <c r="AM5" i="25"/>
  <c r="AU4" i="25"/>
  <c r="AT4" i="25"/>
  <c r="AS4" i="25"/>
  <c r="AR4" i="25"/>
  <c r="AP4" i="25"/>
  <c r="AO4" i="25"/>
  <c r="AN4" i="25"/>
  <c r="AM4" i="25"/>
  <c r="AJ4" i="25"/>
  <c r="AH4" i="25"/>
  <c r="AG4" i="25"/>
  <c r="H18" i="25" s="1"/>
  <c r="AE4" i="25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U35" i="22"/>
  <c r="U36" i="22"/>
  <c r="U37" i="22"/>
  <c r="U38" i="22"/>
  <c r="U39" i="22"/>
  <c r="U40" i="22"/>
  <c r="U41" i="22"/>
  <c r="U42" i="22"/>
  <c r="U43" i="22"/>
  <c r="U44" i="22"/>
  <c r="U45" i="22"/>
  <c r="U46" i="22"/>
  <c r="U47" i="22"/>
  <c r="U48" i="22"/>
  <c r="U49" i="22"/>
  <c r="U50" i="22"/>
  <c r="U51" i="22"/>
  <c r="U52" i="22"/>
  <c r="U14" i="22"/>
  <c r="Q9" i="24"/>
  <c r="P9" i="24"/>
  <c r="Q16" i="24"/>
  <c r="P16" i="24"/>
  <c r="O10" i="24"/>
  <c r="J8" i="24"/>
  <c r="O9" i="24"/>
  <c r="O17" i="24"/>
  <c r="N17" i="24"/>
  <c r="N10" i="24"/>
  <c r="O16" i="24"/>
  <c r="J15" i="24"/>
  <c r="AA71" i="25" l="1" a="1"/>
  <c r="AA71" i="25" s="1"/>
  <c r="AA64" i="25" a="1"/>
  <c r="AA64" i="25" s="1"/>
  <c r="AA66" i="25" a="1"/>
  <c r="AA66" i="25" s="1"/>
  <c r="AA73" i="25" a="1"/>
  <c r="AA73" i="25" s="1"/>
  <c r="AA67" i="25" a="1"/>
  <c r="AA67" i="25" s="1"/>
  <c r="AA70" i="25" a="1"/>
  <c r="AA70" i="25" s="1"/>
  <c r="AA65" i="25" a="1"/>
  <c r="AA65" i="25" s="1"/>
  <c r="AA72" i="25" a="1"/>
  <c r="AA72" i="25" s="1"/>
  <c r="AA74" i="25" a="1"/>
  <c r="AA74" i="25" s="1"/>
  <c r="AA75" i="25" a="1"/>
  <c r="AA75" i="25" s="1"/>
  <c r="AA68" i="25" a="1"/>
  <c r="AA68" i="25" s="1"/>
  <c r="AA76" i="25" a="1"/>
  <c r="AA76" i="25" s="1"/>
  <c r="AA69" i="25" a="1"/>
  <c r="AA69" i="25" s="1"/>
  <c r="AA77" i="25" a="1"/>
  <c r="AA77" i="25" s="1"/>
  <c r="K18" i="25"/>
  <c r="K21" i="25" s="1"/>
  <c r="H19" i="25"/>
  <c r="C25" i="25" s="1"/>
  <c r="K19" i="25"/>
  <c r="K34" i="25"/>
  <c r="W17" i="25"/>
  <c r="I18" i="25"/>
  <c r="C24" i="25"/>
  <c r="K38" i="25"/>
  <c r="I36" i="25"/>
  <c r="D43" i="25" s="1"/>
  <c r="C43" i="25"/>
  <c r="W16" i="25"/>
  <c r="W26" i="25"/>
  <c r="G40" i="25"/>
  <c r="W25" i="25"/>
  <c r="H34" i="25"/>
  <c r="W15" i="25"/>
  <c r="W18" i="25"/>
  <c r="W22" i="25"/>
  <c r="W23" i="25"/>
  <c r="W28" i="25"/>
  <c r="I35" i="25"/>
  <c r="D42" i="25" s="1"/>
  <c r="W20" i="25"/>
  <c r="W21" i="25"/>
  <c r="W14" i="25"/>
  <c r="W27" i="25"/>
  <c r="W19" i="25"/>
  <c r="N16" i="24"/>
  <c r="N9" i="24"/>
  <c r="H12" i="24"/>
  <c r="L12" i="24"/>
  <c r="L5" i="24"/>
  <c r="H5" i="24"/>
  <c r="F15" i="24"/>
  <c r="F8" i="24"/>
  <c r="G42" i="21"/>
  <c r="G43" i="21"/>
  <c r="G41" i="21"/>
  <c r="F43" i="21"/>
  <c r="F42" i="21"/>
  <c r="F41" i="21"/>
  <c r="E43" i="21"/>
  <c r="E42" i="21"/>
  <c r="E41" i="21"/>
  <c r="C43" i="21"/>
  <c r="C42" i="21"/>
  <c r="C41" i="21"/>
  <c r="D42" i="21"/>
  <c r="D41" i="21"/>
  <c r="D43" i="21"/>
  <c r="K35" i="21"/>
  <c r="I35" i="21"/>
  <c r="J36" i="21"/>
  <c r="H35" i="21"/>
  <c r="H18" i="22"/>
  <c r="I18" i="22"/>
  <c r="G18" i="22"/>
  <c r="H36" i="21"/>
  <c r="H34" i="21"/>
  <c r="I36" i="21"/>
  <c r="I34" i="21"/>
  <c r="G36" i="21"/>
  <c r="G35" i="21"/>
  <c r="J35" i="21"/>
  <c r="G40" i="21"/>
  <c r="K36" i="21"/>
  <c r="G34" i="21"/>
  <c r="J34" i="21"/>
  <c r="C36" i="21"/>
  <c r="C35" i="21"/>
  <c r="C34" i="21"/>
  <c r="K34" i="21"/>
  <c r="F40" i="21"/>
  <c r="F39" i="21"/>
  <c r="J33" i="21"/>
  <c r="W60" i="18"/>
  <c r="W61" i="18"/>
  <c r="W62" i="18"/>
  <c r="W63" i="18"/>
  <c r="W64" i="18"/>
  <c r="W65" i="18"/>
  <c r="W66" i="18"/>
  <c r="W67" i="18"/>
  <c r="W68" i="18"/>
  <c r="W69" i="18"/>
  <c r="W59" i="18"/>
  <c r="W11" i="21"/>
  <c r="W15" i="21" s="1"/>
  <c r="W16" i="21"/>
  <c r="W24" i="21"/>
  <c r="Z16" i="21"/>
  <c r="Z17" i="21"/>
  <c r="Z18" i="21"/>
  <c r="Z19" i="21"/>
  <c r="Z20" i="21"/>
  <c r="Z21" i="21"/>
  <c r="Z22" i="21"/>
  <c r="Z23" i="21"/>
  <c r="Z24" i="21"/>
  <c r="Z25" i="21"/>
  <c r="Z26" i="21"/>
  <c r="Z27" i="21"/>
  <c r="Z28" i="21"/>
  <c r="Z15" i="21"/>
  <c r="Y25" i="21"/>
  <c r="Y26" i="21"/>
  <c r="Y27" i="21"/>
  <c r="Y28" i="21"/>
  <c r="Y16" i="21"/>
  <c r="Y17" i="21"/>
  <c r="Y18" i="21"/>
  <c r="Y19" i="21"/>
  <c r="Y20" i="21"/>
  <c r="Y21" i="21"/>
  <c r="Y22" i="21"/>
  <c r="Y23" i="21"/>
  <c r="Y24" i="21"/>
  <c r="Y15" i="21"/>
  <c r="C18" i="22"/>
  <c r="G18" i="19"/>
  <c r="G18" i="20"/>
  <c r="I19" i="25" l="1"/>
  <c r="D25" i="25" s="1"/>
  <c r="E25" i="25" s="1"/>
  <c r="AE65" i="25"/>
  <c r="AC65" i="25"/>
  <c r="AE70" i="25"/>
  <c r="AC70" i="25"/>
  <c r="AC77" i="25"/>
  <c r="AE77" i="25"/>
  <c r="AC69" i="25"/>
  <c r="AE69" i="25"/>
  <c r="AE67" i="25"/>
  <c r="AC67" i="25"/>
  <c r="AE73" i="25"/>
  <c r="AC73" i="25"/>
  <c r="AC72" i="25"/>
  <c r="AE72" i="25"/>
  <c r="AC68" i="25"/>
  <c r="AE68" i="25"/>
  <c r="AE66" i="25"/>
  <c r="AC66" i="25"/>
  <c r="AE75" i="25"/>
  <c r="AC75" i="25"/>
  <c r="AC64" i="25"/>
  <c r="AE64" i="25"/>
  <c r="AE76" i="25"/>
  <c r="AC76" i="25"/>
  <c r="AC74" i="25"/>
  <c r="AE74" i="25"/>
  <c r="AC71" i="25"/>
  <c r="AE71" i="25"/>
  <c r="C41" i="25"/>
  <c r="I34" i="25"/>
  <c r="D41" i="25" s="1"/>
  <c r="E43" i="25"/>
  <c r="D24" i="25"/>
  <c r="E24" i="25" s="1"/>
  <c r="F24" i="25" s="1"/>
  <c r="J38" i="21"/>
  <c r="K38" i="21"/>
  <c r="W28" i="21"/>
  <c r="W20" i="21"/>
  <c r="W27" i="21"/>
  <c r="W19" i="21"/>
  <c r="W26" i="21"/>
  <c r="W18" i="21"/>
  <c r="W23" i="21"/>
  <c r="W22" i="21"/>
  <c r="W14" i="21"/>
  <c r="W21" i="21"/>
  <c r="W25" i="21"/>
  <c r="W17" i="21"/>
  <c r="J19" i="21"/>
  <c r="C19" i="21"/>
  <c r="J19" i="20"/>
  <c r="H19" i="20"/>
  <c r="C19" i="20"/>
  <c r="J18" i="21"/>
  <c r="C18" i="21"/>
  <c r="J19" i="22"/>
  <c r="H19" i="22"/>
  <c r="C19" i="22"/>
  <c r="F25" i="25" l="1"/>
  <c r="G25" i="25" s="1"/>
  <c r="G24" i="25"/>
  <c r="E41" i="25"/>
  <c r="F41" i="25" s="1"/>
  <c r="G41" i="25"/>
  <c r="E42" i="25"/>
  <c r="J18" i="22"/>
  <c r="C24" i="22"/>
  <c r="J19" i="19"/>
  <c r="H19" i="19"/>
  <c r="C19" i="19"/>
  <c r="Q50" i="22"/>
  <c r="Q48" i="22"/>
  <c r="Q47" i="22"/>
  <c r="Q42" i="22"/>
  <c r="Q40" i="22"/>
  <c r="Q39" i="22"/>
  <c r="Q34" i="22"/>
  <c r="Q32" i="22"/>
  <c r="Q31" i="22"/>
  <c r="Q26" i="22"/>
  <c r="Q24" i="22"/>
  <c r="Q23" i="22"/>
  <c r="Q18" i="22"/>
  <c r="Q16" i="22"/>
  <c r="Q15" i="22"/>
  <c r="Q52" i="22"/>
  <c r="Q44" i="22"/>
  <c r="Q36" i="22"/>
  <c r="Q28" i="22"/>
  <c r="Q64" i="22"/>
  <c r="P64" i="22"/>
  <c r="Q63" i="22"/>
  <c r="P63" i="22"/>
  <c r="Q62" i="22"/>
  <c r="P62" i="22"/>
  <c r="Q61" i="22"/>
  <c r="P61" i="22"/>
  <c r="Q60" i="22"/>
  <c r="P60" i="22"/>
  <c r="Q59" i="22"/>
  <c r="P59" i="22"/>
  <c r="Q58" i="22"/>
  <c r="P58" i="22"/>
  <c r="Q57" i="22"/>
  <c r="P57" i="22"/>
  <c r="Q56" i="22"/>
  <c r="P56" i="22"/>
  <c r="Q55" i="22"/>
  <c r="P55" i="22"/>
  <c r="Q54" i="22"/>
  <c r="P54" i="22"/>
  <c r="AQ53" i="22"/>
  <c r="Q53" i="22"/>
  <c r="P53" i="22"/>
  <c r="AQ52" i="22"/>
  <c r="P52" i="22"/>
  <c r="AQ51" i="22"/>
  <c r="Q51" i="22"/>
  <c r="P51" i="22"/>
  <c r="AQ50" i="22"/>
  <c r="P50" i="22"/>
  <c r="AQ49" i="22"/>
  <c r="Q49" i="22"/>
  <c r="P49" i="22"/>
  <c r="AQ48" i="22"/>
  <c r="P48" i="22"/>
  <c r="AQ47" i="22"/>
  <c r="P47" i="22"/>
  <c r="AQ46" i="22"/>
  <c r="Q46" i="22"/>
  <c r="P46" i="22"/>
  <c r="AQ45" i="22"/>
  <c r="Q45" i="22"/>
  <c r="P45" i="22"/>
  <c r="AQ44" i="22"/>
  <c r="P44" i="22"/>
  <c r="AQ43" i="22"/>
  <c r="Q43" i="22"/>
  <c r="P43" i="22"/>
  <c r="AQ42" i="22"/>
  <c r="P42" i="22"/>
  <c r="AQ41" i="22"/>
  <c r="Q41" i="22"/>
  <c r="P41" i="22"/>
  <c r="AQ40" i="22"/>
  <c r="P40" i="22"/>
  <c r="AQ39" i="22"/>
  <c r="P39" i="22"/>
  <c r="AQ38" i="22"/>
  <c r="Q38" i="22"/>
  <c r="P38" i="22"/>
  <c r="AQ37" i="22"/>
  <c r="Q37" i="22"/>
  <c r="P37" i="22"/>
  <c r="AQ36" i="22"/>
  <c r="P36" i="22"/>
  <c r="AQ35" i="22"/>
  <c r="Q35" i="22"/>
  <c r="P35" i="22"/>
  <c r="AQ34" i="22"/>
  <c r="P34" i="22"/>
  <c r="AQ33" i="22"/>
  <c r="Q33" i="22"/>
  <c r="P33" i="22"/>
  <c r="AQ32" i="22"/>
  <c r="P32" i="22"/>
  <c r="AQ31" i="22"/>
  <c r="P31" i="22"/>
  <c r="AQ30" i="22"/>
  <c r="Q30" i="22"/>
  <c r="P30" i="22"/>
  <c r="AQ29" i="22"/>
  <c r="Q29" i="22"/>
  <c r="P29" i="22"/>
  <c r="AQ28" i="22"/>
  <c r="P28" i="22"/>
  <c r="AQ27" i="22"/>
  <c r="Q27" i="22"/>
  <c r="P27" i="22"/>
  <c r="AQ26" i="22"/>
  <c r="P26" i="22"/>
  <c r="AQ25" i="22"/>
  <c r="Q25" i="22"/>
  <c r="P25" i="22"/>
  <c r="AQ24" i="22"/>
  <c r="P24" i="22"/>
  <c r="AQ23" i="22"/>
  <c r="P23" i="22"/>
  <c r="F23" i="22"/>
  <c r="G23" i="22" s="1"/>
  <c r="AQ22" i="22"/>
  <c r="Q22" i="22"/>
  <c r="P22" i="22"/>
  <c r="F22" i="22"/>
  <c r="AQ21" i="22"/>
  <c r="Q21" i="22"/>
  <c r="P21" i="22"/>
  <c r="AQ20" i="22"/>
  <c r="Q20" i="22"/>
  <c r="P20" i="22"/>
  <c r="AQ19" i="22"/>
  <c r="Q19" i="22"/>
  <c r="P19" i="22"/>
  <c r="C25" i="22"/>
  <c r="G19" i="22"/>
  <c r="AQ18" i="22"/>
  <c r="P18" i="22"/>
  <c r="AQ17" i="22"/>
  <c r="Q17" i="22"/>
  <c r="P17" i="22"/>
  <c r="J17" i="22"/>
  <c r="AQ16" i="22"/>
  <c r="P16" i="22"/>
  <c r="AQ15" i="22"/>
  <c r="P15" i="22"/>
  <c r="AQ14" i="22"/>
  <c r="Q14" i="22"/>
  <c r="P14" i="22"/>
  <c r="AQ13" i="22"/>
  <c r="AR8" i="22"/>
  <c r="AQ8" i="22"/>
  <c r="AP8" i="22"/>
  <c r="AO8" i="22"/>
  <c r="AM8" i="22"/>
  <c r="AL8" i="22"/>
  <c r="AK8" i="22"/>
  <c r="AJ8" i="22"/>
  <c r="AH8" i="22"/>
  <c r="AG8" i="22"/>
  <c r="AF8" i="22"/>
  <c r="AE8" i="22"/>
  <c r="AR7" i="22"/>
  <c r="AQ7" i="22"/>
  <c r="AP7" i="22"/>
  <c r="AO7" i="22"/>
  <c r="AM7" i="22"/>
  <c r="AL7" i="22"/>
  <c r="AK7" i="22"/>
  <c r="AJ7" i="22"/>
  <c r="AH7" i="22"/>
  <c r="AG7" i="22"/>
  <c r="AF7" i="22"/>
  <c r="AE7" i="22"/>
  <c r="AR6" i="22"/>
  <c r="AQ6" i="22"/>
  <c r="AP6" i="22"/>
  <c r="AO6" i="22"/>
  <c r="AM6" i="22"/>
  <c r="AL6" i="22"/>
  <c r="AK6" i="22"/>
  <c r="AJ6" i="22"/>
  <c r="AH6" i="22"/>
  <c r="AG6" i="22"/>
  <c r="AF6" i="22"/>
  <c r="AE6" i="22"/>
  <c r="AR5" i="22"/>
  <c r="AQ5" i="22"/>
  <c r="AP5" i="22"/>
  <c r="AO5" i="22"/>
  <c r="AM5" i="22"/>
  <c r="AL5" i="22"/>
  <c r="AK5" i="22"/>
  <c r="AJ5" i="22"/>
  <c r="AR4" i="22"/>
  <c r="AQ4" i="22"/>
  <c r="AP4" i="22"/>
  <c r="AO4" i="22"/>
  <c r="AM4" i="22"/>
  <c r="AL4" i="22"/>
  <c r="AK4" i="22"/>
  <c r="AJ4" i="22"/>
  <c r="AH4" i="22"/>
  <c r="AG4" i="22"/>
  <c r="AF4" i="22"/>
  <c r="AE4" i="22"/>
  <c r="Q52" i="21"/>
  <c r="Q50" i="21"/>
  <c r="Q49" i="21"/>
  <c r="Q47" i="21"/>
  <c r="Q44" i="21"/>
  <c r="Q42" i="21"/>
  <c r="Q41" i="21"/>
  <c r="Q39" i="21"/>
  <c r="Q36" i="21"/>
  <c r="Q34" i="21"/>
  <c r="Q33" i="21"/>
  <c r="Q31" i="21"/>
  <c r="Q28" i="21"/>
  <c r="Q26" i="21"/>
  <c r="Q25" i="21"/>
  <c r="Q23" i="21"/>
  <c r="Q19" i="21"/>
  <c r="Q18" i="21"/>
  <c r="Q17" i="21"/>
  <c r="Q16" i="21"/>
  <c r="Q64" i="21"/>
  <c r="P64" i="21"/>
  <c r="Q63" i="21"/>
  <c r="P63" i="21"/>
  <c r="Q62" i="21"/>
  <c r="P62" i="21"/>
  <c r="Q61" i="21"/>
  <c r="P61" i="21"/>
  <c r="Q60" i="21"/>
  <c r="P60" i="21"/>
  <c r="Q59" i="21"/>
  <c r="P59" i="21"/>
  <c r="Q58" i="21"/>
  <c r="P58" i="21"/>
  <c r="Q57" i="21"/>
  <c r="P57" i="21"/>
  <c r="Q56" i="21"/>
  <c r="P56" i="21"/>
  <c r="Q55" i="21"/>
  <c r="P55" i="21"/>
  <c r="Q54" i="21"/>
  <c r="P54" i="21"/>
  <c r="AT53" i="21"/>
  <c r="Q53" i="21"/>
  <c r="P53" i="21"/>
  <c r="AT52" i="21"/>
  <c r="P52" i="21"/>
  <c r="AT51" i="21"/>
  <c r="Q51" i="21"/>
  <c r="P51" i="21"/>
  <c r="AT50" i="21"/>
  <c r="P50" i="21"/>
  <c r="AT49" i="21"/>
  <c r="P49" i="21"/>
  <c r="AT48" i="21"/>
  <c r="Q48" i="21"/>
  <c r="P48" i="21"/>
  <c r="AT47" i="21"/>
  <c r="P47" i="21"/>
  <c r="AT46" i="21"/>
  <c r="Q46" i="21"/>
  <c r="P46" i="21"/>
  <c r="AT45" i="21"/>
  <c r="Q45" i="21"/>
  <c r="P45" i="21"/>
  <c r="AT44" i="21"/>
  <c r="P44" i="21"/>
  <c r="AT43" i="21"/>
  <c r="Q43" i="21"/>
  <c r="P43" i="21"/>
  <c r="AT42" i="21"/>
  <c r="P42" i="21"/>
  <c r="AT41" i="21"/>
  <c r="P41" i="21"/>
  <c r="AT40" i="21"/>
  <c r="Q40" i="21"/>
  <c r="P40" i="21"/>
  <c r="AT39" i="21"/>
  <c r="P39" i="21"/>
  <c r="AT38" i="21"/>
  <c r="Q38" i="21"/>
  <c r="P38" i="21"/>
  <c r="AT37" i="21"/>
  <c r="Q37" i="21"/>
  <c r="P37" i="21"/>
  <c r="AT36" i="21"/>
  <c r="P36" i="21"/>
  <c r="AT35" i="21"/>
  <c r="Q35" i="21"/>
  <c r="P35" i="21"/>
  <c r="AT34" i="21"/>
  <c r="P34" i="21"/>
  <c r="AT33" i="21"/>
  <c r="P33" i="21"/>
  <c r="AT32" i="21"/>
  <c r="Q32" i="21"/>
  <c r="P32" i="21"/>
  <c r="AT31" i="21"/>
  <c r="P31" i="21"/>
  <c r="AT30" i="21"/>
  <c r="Q30" i="21"/>
  <c r="P30" i="21"/>
  <c r="AT29" i="21"/>
  <c r="Q29" i="21"/>
  <c r="P29" i="21"/>
  <c r="AT28" i="21"/>
  <c r="P28" i="21"/>
  <c r="AT27" i="21"/>
  <c r="Q27" i="21"/>
  <c r="P27" i="21"/>
  <c r="AT26" i="21"/>
  <c r="P26" i="21"/>
  <c r="AT25" i="21"/>
  <c r="P25" i="21"/>
  <c r="AT24" i="21"/>
  <c r="Q24" i="21"/>
  <c r="P24" i="21"/>
  <c r="AT23" i="21"/>
  <c r="P23" i="21"/>
  <c r="F23" i="21"/>
  <c r="G23" i="21" s="1"/>
  <c r="AT22" i="21"/>
  <c r="Q22" i="21"/>
  <c r="P22" i="21"/>
  <c r="F22" i="21"/>
  <c r="AT21" i="21"/>
  <c r="Q21" i="21"/>
  <c r="P21" i="21"/>
  <c r="AT20" i="21"/>
  <c r="Q20" i="21"/>
  <c r="P20" i="21"/>
  <c r="AT19" i="21"/>
  <c r="P19" i="21"/>
  <c r="G19" i="21"/>
  <c r="K19" i="21" s="1"/>
  <c r="AT18" i="21"/>
  <c r="P18" i="21"/>
  <c r="G18" i="21"/>
  <c r="K18" i="21" s="1"/>
  <c r="AT17" i="21"/>
  <c r="P17" i="21"/>
  <c r="J17" i="21"/>
  <c r="J21" i="21" s="1"/>
  <c r="AT16" i="21"/>
  <c r="P16" i="21"/>
  <c r="AT15" i="21"/>
  <c r="Q15" i="21"/>
  <c r="P15" i="21"/>
  <c r="AT14" i="21"/>
  <c r="Q14" i="21"/>
  <c r="P14" i="21"/>
  <c r="AT13" i="21"/>
  <c r="AU8" i="21"/>
  <c r="AT8" i="21"/>
  <c r="AS8" i="21"/>
  <c r="AR8" i="21"/>
  <c r="AP8" i="21"/>
  <c r="AO8" i="21"/>
  <c r="AN8" i="21"/>
  <c r="AM8" i="21"/>
  <c r="AJ8" i="21"/>
  <c r="AH8" i="21"/>
  <c r="AG8" i="21"/>
  <c r="AE8" i="21"/>
  <c r="AU7" i="21"/>
  <c r="AT7" i="21"/>
  <c r="AS7" i="21"/>
  <c r="AR7" i="21"/>
  <c r="AP7" i="21"/>
  <c r="AO7" i="21"/>
  <c r="AN7" i="21"/>
  <c r="AM7" i="21"/>
  <c r="AJ7" i="21"/>
  <c r="AH7" i="21"/>
  <c r="AG7" i="21"/>
  <c r="AE7" i="21"/>
  <c r="AU6" i="21"/>
  <c r="AT6" i="21"/>
  <c r="AS6" i="21"/>
  <c r="AR6" i="21"/>
  <c r="AP6" i="21"/>
  <c r="AO6" i="21"/>
  <c r="AN6" i="21"/>
  <c r="AM6" i="21"/>
  <c r="AJ6" i="21"/>
  <c r="AH6" i="21"/>
  <c r="AG6" i="21"/>
  <c r="AE6" i="21"/>
  <c r="AU5" i="21"/>
  <c r="AT5" i="21"/>
  <c r="AS5" i="21"/>
  <c r="AR5" i="21"/>
  <c r="AP5" i="21"/>
  <c r="AO5" i="21"/>
  <c r="AN5" i="21"/>
  <c r="AM5" i="21"/>
  <c r="AU4" i="21"/>
  <c r="AT4" i="21"/>
  <c r="AS4" i="21"/>
  <c r="AR4" i="21"/>
  <c r="AP4" i="21"/>
  <c r="AO4" i="21"/>
  <c r="AN4" i="21"/>
  <c r="AM4" i="21"/>
  <c r="AJ4" i="21"/>
  <c r="AH4" i="21"/>
  <c r="AG4" i="21"/>
  <c r="AE4" i="21"/>
  <c r="Q50" i="20"/>
  <c r="Q49" i="20"/>
  <c r="Q48" i="20"/>
  <c r="Q47" i="20"/>
  <c r="Q41" i="20"/>
  <c r="Q39" i="20"/>
  <c r="Q33" i="20"/>
  <c r="Q31" i="20"/>
  <c r="Q25" i="20"/>
  <c r="Q23" i="20"/>
  <c r="Q16" i="20"/>
  <c r="Q15" i="20"/>
  <c r="Q14" i="20"/>
  <c r="Q64" i="20"/>
  <c r="P64" i="20"/>
  <c r="Q63" i="20"/>
  <c r="P63" i="20"/>
  <c r="Q62" i="20"/>
  <c r="P62" i="20"/>
  <c r="Q61" i="20"/>
  <c r="P61" i="20"/>
  <c r="Q60" i="20"/>
  <c r="P60" i="20"/>
  <c r="Q59" i="20"/>
  <c r="P59" i="20"/>
  <c r="Q58" i="20"/>
  <c r="P58" i="20"/>
  <c r="Q57" i="20"/>
  <c r="P57" i="20"/>
  <c r="Q56" i="20"/>
  <c r="P56" i="20"/>
  <c r="Q55" i="20"/>
  <c r="P55" i="20"/>
  <c r="Q54" i="20"/>
  <c r="P54" i="20"/>
  <c r="AQ53" i="20"/>
  <c r="Q53" i="20"/>
  <c r="P53" i="20"/>
  <c r="AQ52" i="20"/>
  <c r="Q52" i="20"/>
  <c r="P52" i="20"/>
  <c r="AQ51" i="20"/>
  <c r="Q51" i="20"/>
  <c r="P51" i="20"/>
  <c r="AQ50" i="20"/>
  <c r="P50" i="20"/>
  <c r="AQ49" i="20"/>
  <c r="P49" i="20"/>
  <c r="AQ48" i="20"/>
  <c r="P48" i="20"/>
  <c r="AQ47" i="20"/>
  <c r="P47" i="20"/>
  <c r="AQ46" i="20"/>
  <c r="Q46" i="20"/>
  <c r="P46" i="20"/>
  <c r="AQ45" i="20"/>
  <c r="Q45" i="20"/>
  <c r="P45" i="20"/>
  <c r="AQ44" i="20"/>
  <c r="Q44" i="20"/>
  <c r="P44" i="20"/>
  <c r="AQ43" i="20"/>
  <c r="Q43" i="20"/>
  <c r="P43" i="20"/>
  <c r="AQ42" i="20"/>
  <c r="Q42" i="20"/>
  <c r="P42" i="20"/>
  <c r="AQ41" i="20"/>
  <c r="P41" i="20"/>
  <c r="AQ40" i="20"/>
  <c r="Q40" i="20"/>
  <c r="P40" i="20"/>
  <c r="AQ39" i="20"/>
  <c r="P39" i="20"/>
  <c r="AQ38" i="20"/>
  <c r="Q38" i="20"/>
  <c r="P38" i="20"/>
  <c r="AQ37" i="20"/>
  <c r="Q37" i="20"/>
  <c r="P37" i="20"/>
  <c r="AQ36" i="20"/>
  <c r="Q36" i="20"/>
  <c r="P36" i="20"/>
  <c r="AQ35" i="20"/>
  <c r="Q35" i="20"/>
  <c r="P35" i="20"/>
  <c r="AQ34" i="20"/>
  <c r="Q34" i="20"/>
  <c r="P34" i="20"/>
  <c r="AQ33" i="20"/>
  <c r="P33" i="20"/>
  <c r="AQ32" i="20"/>
  <c r="Q32" i="20"/>
  <c r="P32" i="20"/>
  <c r="AQ31" i="20"/>
  <c r="P31" i="20"/>
  <c r="AQ30" i="20"/>
  <c r="Q30" i="20"/>
  <c r="P30" i="20"/>
  <c r="AQ29" i="20"/>
  <c r="Q29" i="20"/>
  <c r="P29" i="20"/>
  <c r="AQ28" i="20"/>
  <c r="Q28" i="20"/>
  <c r="P28" i="20"/>
  <c r="AQ27" i="20"/>
  <c r="Q27" i="20"/>
  <c r="P27" i="20"/>
  <c r="AQ26" i="20"/>
  <c r="Q26" i="20"/>
  <c r="P26" i="20"/>
  <c r="AQ25" i="20"/>
  <c r="P25" i="20"/>
  <c r="AQ24" i="20"/>
  <c r="Q24" i="20"/>
  <c r="P24" i="20"/>
  <c r="AQ23" i="20"/>
  <c r="P23" i="20"/>
  <c r="F23" i="20"/>
  <c r="G23" i="20" s="1"/>
  <c r="AQ22" i="20"/>
  <c r="Q22" i="20"/>
  <c r="P22" i="20"/>
  <c r="F22" i="20"/>
  <c r="AQ21" i="20"/>
  <c r="Q21" i="20"/>
  <c r="P21" i="20"/>
  <c r="AQ20" i="20"/>
  <c r="Q20" i="20"/>
  <c r="P20" i="20"/>
  <c r="AQ19" i="20"/>
  <c r="Q19" i="20"/>
  <c r="P19" i="20"/>
  <c r="C25" i="20"/>
  <c r="G19" i="20"/>
  <c r="I19" i="20" s="1"/>
  <c r="D25" i="20" s="1"/>
  <c r="AQ18" i="20"/>
  <c r="Q18" i="20"/>
  <c r="P18" i="20"/>
  <c r="J18" i="20"/>
  <c r="H18" i="20"/>
  <c r="C24" i="20" s="1"/>
  <c r="C18" i="20"/>
  <c r="AQ17" i="20"/>
  <c r="Q17" i="20"/>
  <c r="P17" i="20"/>
  <c r="J17" i="20"/>
  <c r="AQ16" i="20"/>
  <c r="P16" i="20"/>
  <c r="AQ15" i="20"/>
  <c r="P15" i="20"/>
  <c r="AQ14" i="20"/>
  <c r="P14" i="20"/>
  <c r="AQ13" i="20"/>
  <c r="AR8" i="20"/>
  <c r="AQ8" i="20"/>
  <c r="AP8" i="20"/>
  <c r="AO8" i="20"/>
  <c r="AM8" i="20"/>
  <c r="AL8" i="20"/>
  <c r="AK8" i="20"/>
  <c r="AJ8" i="20"/>
  <c r="AH8" i="20"/>
  <c r="AG8" i="20"/>
  <c r="AF8" i="20"/>
  <c r="AE8" i="20"/>
  <c r="AR7" i="20"/>
  <c r="AQ7" i="20"/>
  <c r="AP7" i="20"/>
  <c r="AO7" i="20"/>
  <c r="AM7" i="20"/>
  <c r="AL7" i="20"/>
  <c r="AK7" i="20"/>
  <c r="AJ7" i="20"/>
  <c r="AH7" i="20"/>
  <c r="AG7" i="20"/>
  <c r="AF7" i="20"/>
  <c r="AE7" i="20"/>
  <c r="AR6" i="20"/>
  <c r="AQ6" i="20"/>
  <c r="AP6" i="20"/>
  <c r="AO6" i="20"/>
  <c r="AM6" i="20"/>
  <c r="AL6" i="20"/>
  <c r="AK6" i="20"/>
  <c r="AJ6" i="20"/>
  <c r="AH6" i="20"/>
  <c r="AG6" i="20"/>
  <c r="AF6" i="20"/>
  <c r="AE6" i="20"/>
  <c r="AR5" i="20"/>
  <c r="AQ5" i="20"/>
  <c r="AP5" i="20"/>
  <c r="AO5" i="20"/>
  <c r="AM5" i="20"/>
  <c r="AL5" i="20"/>
  <c r="AK5" i="20"/>
  <c r="AJ5" i="20"/>
  <c r="AR4" i="20"/>
  <c r="AQ4" i="20"/>
  <c r="AP4" i="20"/>
  <c r="AO4" i="20"/>
  <c r="AM4" i="20"/>
  <c r="AL4" i="20"/>
  <c r="AK4" i="20"/>
  <c r="AJ4" i="20"/>
  <c r="AH4" i="20"/>
  <c r="AG4" i="20"/>
  <c r="AF4" i="20"/>
  <c r="AE4" i="20"/>
  <c r="Q28" i="18"/>
  <c r="Q27" i="18"/>
  <c r="Q20" i="18"/>
  <c r="Q19" i="18"/>
  <c r="Q32" i="19"/>
  <c r="Q31" i="19"/>
  <c r="Q30" i="19"/>
  <c r="Q29" i="19"/>
  <c r="Q24" i="19"/>
  <c r="Q23" i="19"/>
  <c r="Q21" i="19"/>
  <c r="Q20" i="19"/>
  <c r="Q16" i="19"/>
  <c r="Q15" i="19"/>
  <c r="Q27" i="19"/>
  <c r="Q19" i="19"/>
  <c r="AQ53" i="19"/>
  <c r="AQ52" i="19"/>
  <c r="AQ51" i="19"/>
  <c r="AQ50" i="19"/>
  <c r="AQ49" i="19"/>
  <c r="AQ48" i="19"/>
  <c r="AQ47" i="19"/>
  <c r="AQ46" i="19"/>
  <c r="AQ45" i="19"/>
  <c r="AQ44" i="19"/>
  <c r="AQ43" i="19"/>
  <c r="AQ42" i="19"/>
  <c r="AQ41" i="19"/>
  <c r="AQ40" i="19"/>
  <c r="AQ39" i="19"/>
  <c r="AQ38" i="19"/>
  <c r="AQ37" i="19"/>
  <c r="AQ36" i="19"/>
  <c r="AQ35" i="19"/>
  <c r="AQ34" i="19"/>
  <c r="Q34" i="19"/>
  <c r="P34" i="19"/>
  <c r="AQ33" i="19"/>
  <c r="Q33" i="19"/>
  <c r="P33" i="19"/>
  <c r="AQ32" i="19"/>
  <c r="P32" i="19"/>
  <c r="AQ31" i="19"/>
  <c r="P31" i="19"/>
  <c r="AQ30" i="19"/>
  <c r="P30" i="19"/>
  <c r="AQ29" i="19"/>
  <c r="P29" i="19"/>
  <c r="AQ28" i="19"/>
  <c r="Q28" i="19"/>
  <c r="P28" i="19"/>
  <c r="AQ27" i="19"/>
  <c r="P27" i="19"/>
  <c r="AQ26" i="19"/>
  <c r="Q26" i="19"/>
  <c r="P26" i="19"/>
  <c r="AQ25" i="19"/>
  <c r="Q25" i="19"/>
  <c r="P25" i="19"/>
  <c r="AQ24" i="19"/>
  <c r="P24" i="19"/>
  <c r="AQ23" i="19"/>
  <c r="P23" i="19"/>
  <c r="F23" i="19"/>
  <c r="G23" i="19" s="1"/>
  <c r="AQ22" i="19"/>
  <c r="Q22" i="19"/>
  <c r="P22" i="19"/>
  <c r="F22" i="19"/>
  <c r="AQ21" i="19"/>
  <c r="P21" i="19"/>
  <c r="AQ20" i="19"/>
  <c r="P20" i="19"/>
  <c r="AQ19" i="19"/>
  <c r="P19" i="19"/>
  <c r="G19" i="19"/>
  <c r="AQ18" i="19"/>
  <c r="Q18" i="19"/>
  <c r="P18" i="19"/>
  <c r="J18" i="19"/>
  <c r="C18" i="19"/>
  <c r="AQ17" i="19"/>
  <c r="Q17" i="19"/>
  <c r="P17" i="19"/>
  <c r="J17" i="19"/>
  <c r="AQ16" i="19"/>
  <c r="P16" i="19"/>
  <c r="AQ15" i="19"/>
  <c r="P15" i="19"/>
  <c r="AQ14" i="19"/>
  <c r="Q14" i="19"/>
  <c r="P14" i="19"/>
  <c r="AQ13" i="19"/>
  <c r="AR8" i="19"/>
  <c r="AQ8" i="19"/>
  <c r="AP8" i="19"/>
  <c r="AO8" i="19"/>
  <c r="AM8" i="19"/>
  <c r="AL8" i="19"/>
  <c r="AK8" i="19"/>
  <c r="AJ8" i="19"/>
  <c r="AH8" i="19"/>
  <c r="AG8" i="19"/>
  <c r="AF8" i="19"/>
  <c r="AE8" i="19"/>
  <c r="AR7" i="19"/>
  <c r="AQ7" i="19"/>
  <c r="AP7" i="19"/>
  <c r="AO7" i="19"/>
  <c r="AM7" i="19"/>
  <c r="AL7" i="19"/>
  <c r="AK7" i="19"/>
  <c r="AJ7" i="19"/>
  <c r="AH7" i="19"/>
  <c r="AG7" i="19"/>
  <c r="AF7" i="19"/>
  <c r="AE7" i="19"/>
  <c r="AR6" i="19"/>
  <c r="AQ6" i="19"/>
  <c r="AP6" i="19"/>
  <c r="AO6" i="19"/>
  <c r="AM6" i="19"/>
  <c r="AL6" i="19"/>
  <c r="AK6" i="19"/>
  <c r="AJ6" i="19"/>
  <c r="AH6" i="19"/>
  <c r="AG6" i="19"/>
  <c r="AF6" i="19"/>
  <c r="AE6" i="19"/>
  <c r="AR5" i="19"/>
  <c r="AQ5" i="19"/>
  <c r="AP5" i="19"/>
  <c r="AO5" i="19"/>
  <c r="AM5" i="19"/>
  <c r="AL5" i="19"/>
  <c r="AK5" i="19"/>
  <c r="AJ5" i="19"/>
  <c r="AR4" i="19"/>
  <c r="AQ4" i="19"/>
  <c r="AP4" i="19"/>
  <c r="AO4" i="19"/>
  <c r="AM4" i="19"/>
  <c r="AL4" i="19"/>
  <c r="AK4" i="19"/>
  <c r="AJ4" i="19"/>
  <c r="AH4" i="19"/>
  <c r="AG4" i="19"/>
  <c r="AF4" i="19"/>
  <c r="AE4" i="19"/>
  <c r="J19" i="18"/>
  <c r="H19" i="18"/>
  <c r="C19" i="18"/>
  <c r="Q30" i="18"/>
  <c r="Q24" i="18"/>
  <c r="Q22" i="18"/>
  <c r="Q15" i="18"/>
  <c r="Q14" i="18"/>
  <c r="AQ53" i="18"/>
  <c r="AQ52" i="18"/>
  <c r="AQ51" i="18"/>
  <c r="AQ50" i="18"/>
  <c r="AQ49" i="18"/>
  <c r="AQ48" i="18"/>
  <c r="AQ47" i="18"/>
  <c r="AQ46" i="18"/>
  <c r="AQ45" i="18"/>
  <c r="AQ44" i="18"/>
  <c r="AQ43" i="18"/>
  <c r="AQ42" i="18"/>
  <c r="AQ41" i="18"/>
  <c r="AQ40" i="18"/>
  <c r="AQ39" i="18"/>
  <c r="AQ38" i="18"/>
  <c r="AQ37" i="18"/>
  <c r="AQ36" i="18"/>
  <c r="AQ35" i="18"/>
  <c r="AQ34" i="18"/>
  <c r="Q34" i="18"/>
  <c r="P34" i="18"/>
  <c r="AQ33" i="18"/>
  <c r="Q33" i="18"/>
  <c r="P33" i="18"/>
  <c r="AQ32" i="18"/>
  <c r="Q32" i="18"/>
  <c r="P32" i="18"/>
  <c r="AQ31" i="18"/>
  <c r="Q31" i="18"/>
  <c r="P31" i="18"/>
  <c r="AQ30" i="18"/>
  <c r="P30" i="18"/>
  <c r="AQ29" i="18"/>
  <c r="Q29" i="18"/>
  <c r="P29" i="18"/>
  <c r="AQ28" i="18"/>
  <c r="P28" i="18"/>
  <c r="AQ27" i="18"/>
  <c r="P27" i="18"/>
  <c r="AQ26" i="18"/>
  <c r="Q26" i="18"/>
  <c r="P26" i="18"/>
  <c r="AQ25" i="18"/>
  <c r="Q25" i="18"/>
  <c r="P25" i="18"/>
  <c r="AQ24" i="18"/>
  <c r="P24" i="18"/>
  <c r="AQ23" i="18"/>
  <c r="Q23" i="18"/>
  <c r="P23" i="18"/>
  <c r="F23" i="18"/>
  <c r="G23" i="18" s="1"/>
  <c r="AQ22" i="18"/>
  <c r="P22" i="18"/>
  <c r="F22" i="18"/>
  <c r="AQ21" i="18"/>
  <c r="Q21" i="18"/>
  <c r="P21" i="18"/>
  <c r="AQ20" i="18"/>
  <c r="P20" i="18"/>
  <c r="AQ19" i="18"/>
  <c r="P19" i="18"/>
  <c r="G19" i="18"/>
  <c r="AQ18" i="18"/>
  <c r="Q18" i="18"/>
  <c r="P18" i="18"/>
  <c r="J18" i="18"/>
  <c r="G18" i="18"/>
  <c r="C18" i="18"/>
  <c r="AQ17" i="18"/>
  <c r="Q17" i="18"/>
  <c r="P17" i="18"/>
  <c r="J17" i="18"/>
  <c r="AQ16" i="18"/>
  <c r="Q16" i="18"/>
  <c r="P16" i="18"/>
  <c r="AQ15" i="18"/>
  <c r="P15" i="18"/>
  <c r="AQ14" i="18"/>
  <c r="P14" i="18"/>
  <c r="AQ13" i="18"/>
  <c r="AR8" i="18"/>
  <c r="AQ8" i="18"/>
  <c r="AP8" i="18"/>
  <c r="AO8" i="18"/>
  <c r="AM8" i="18"/>
  <c r="AL8" i="18"/>
  <c r="AK8" i="18"/>
  <c r="AJ8" i="18"/>
  <c r="AH8" i="18"/>
  <c r="AG8" i="18"/>
  <c r="AF8" i="18"/>
  <c r="AE8" i="18"/>
  <c r="AR7" i="18"/>
  <c r="AQ7" i="18"/>
  <c r="AP7" i="18"/>
  <c r="AO7" i="18"/>
  <c r="AM7" i="18"/>
  <c r="AL7" i="18"/>
  <c r="AK7" i="18"/>
  <c r="AJ7" i="18"/>
  <c r="AH7" i="18"/>
  <c r="AG7" i="18"/>
  <c r="AF7" i="18"/>
  <c r="AE7" i="18"/>
  <c r="AR6" i="18"/>
  <c r="AQ6" i="18"/>
  <c r="AP6" i="18"/>
  <c r="AO6" i="18"/>
  <c r="AM6" i="18"/>
  <c r="AL6" i="18"/>
  <c r="AK6" i="18"/>
  <c r="AJ6" i="18"/>
  <c r="AH6" i="18"/>
  <c r="AG6" i="18"/>
  <c r="AF6" i="18"/>
  <c r="AE6" i="18"/>
  <c r="AR5" i="18"/>
  <c r="AQ5" i="18"/>
  <c r="AP5" i="18"/>
  <c r="AO5" i="18"/>
  <c r="AM5" i="18"/>
  <c r="AL5" i="18"/>
  <c r="AK5" i="18"/>
  <c r="AJ5" i="18"/>
  <c r="AR4" i="18"/>
  <c r="AQ4" i="18"/>
  <c r="AP4" i="18"/>
  <c r="AO4" i="18"/>
  <c r="AM4" i="18"/>
  <c r="AL4" i="18"/>
  <c r="AK4" i="18"/>
  <c r="AJ4" i="18"/>
  <c r="AH4" i="18"/>
  <c r="AG4" i="18"/>
  <c r="AF4" i="18"/>
  <c r="AE4" i="18"/>
  <c r="J19" i="17"/>
  <c r="H19" i="17"/>
  <c r="C19" i="17"/>
  <c r="J18" i="17"/>
  <c r="H18" i="17"/>
  <c r="C18" i="17"/>
  <c r="Q34" i="17"/>
  <c r="Q31" i="17"/>
  <c r="Q26" i="17"/>
  <c r="Q23" i="17"/>
  <c r="Q18" i="17"/>
  <c r="Q15" i="17"/>
  <c r="AQ53" i="17"/>
  <c r="AQ52" i="17"/>
  <c r="AQ51" i="17"/>
  <c r="AQ50" i="17"/>
  <c r="AQ49" i="17"/>
  <c r="AQ48" i="17"/>
  <c r="AQ47" i="17"/>
  <c r="AQ46" i="17"/>
  <c r="AQ45" i="17"/>
  <c r="AQ44" i="17"/>
  <c r="AQ43" i="17"/>
  <c r="AQ42" i="17"/>
  <c r="AQ41" i="17"/>
  <c r="AQ40" i="17"/>
  <c r="AQ39" i="17"/>
  <c r="AQ38" i="17"/>
  <c r="AQ37" i="17"/>
  <c r="AQ36" i="17"/>
  <c r="AQ35" i="17"/>
  <c r="AQ34" i="17"/>
  <c r="P34" i="17"/>
  <c r="AQ33" i="17"/>
  <c r="Q33" i="17"/>
  <c r="P33" i="17"/>
  <c r="AQ32" i="17"/>
  <c r="Q32" i="17"/>
  <c r="P32" i="17"/>
  <c r="AQ31" i="17"/>
  <c r="P31" i="17"/>
  <c r="AQ30" i="17"/>
  <c r="Q30" i="17"/>
  <c r="P30" i="17"/>
  <c r="AQ29" i="17"/>
  <c r="Q29" i="17"/>
  <c r="P29" i="17"/>
  <c r="AQ28" i="17"/>
  <c r="Q28" i="17"/>
  <c r="P28" i="17"/>
  <c r="AQ27" i="17"/>
  <c r="Q27" i="17"/>
  <c r="P27" i="17"/>
  <c r="AQ26" i="17"/>
  <c r="P26" i="17"/>
  <c r="AQ25" i="17"/>
  <c r="Q25" i="17"/>
  <c r="P25" i="17"/>
  <c r="AQ24" i="17"/>
  <c r="Q24" i="17"/>
  <c r="P24" i="17"/>
  <c r="AQ23" i="17"/>
  <c r="P23" i="17"/>
  <c r="F23" i="17"/>
  <c r="G23" i="17" s="1"/>
  <c r="AQ22" i="17"/>
  <c r="Q22" i="17"/>
  <c r="P22" i="17"/>
  <c r="F22" i="17"/>
  <c r="AQ21" i="17"/>
  <c r="Q21" i="17"/>
  <c r="P21" i="17"/>
  <c r="AQ20" i="17"/>
  <c r="Q20" i="17"/>
  <c r="P20" i="17"/>
  <c r="AQ19" i="17"/>
  <c r="Q19" i="17"/>
  <c r="P19" i="17"/>
  <c r="C25" i="17"/>
  <c r="G19" i="17"/>
  <c r="I19" i="17" s="1"/>
  <c r="D25" i="17" s="1"/>
  <c r="AQ18" i="17"/>
  <c r="P18" i="17"/>
  <c r="G18" i="17"/>
  <c r="AQ17" i="17"/>
  <c r="Q17" i="17"/>
  <c r="P17" i="17"/>
  <c r="J17" i="17"/>
  <c r="AQ16" i="17"/>
  <c r="Q16" i="17"/>
  <c r="P16" i="17"/>
  <c r="AQ15" i="17"/>
  <c r="P15" i="17"/>
  <c r="AQ14" i="17"/>
  <c r="Q14" i="17"/>
  <c r="P14" i="17"/>
  <c r="AQ13" i="17"/>
  <c r="AR8" i="17"/>
  <c r="AQ8" i="17"/>
  <c r="AP8" i="17"/>
  <c r="AO8" i="17"/>
  <c r="AM8" i="17"/>
  <c r="AL8" i="17"/>
  <c r="AK8" i="17"/>
  <c r="AJ8" i="17"/>
  <c r="AH8" i="17"/>
  <c r="AG8" i="17"/>
  <c r="AF8" i="17"/>
  <c r="AE8" i="17"/>
  <c r="AR7" i="17"/>
  <c r="AQ7" i="17"/>
  <c r="AP7" i="17"/>
  <c r="AO7" i="17"/>
  <c r="AM7" i="17"/>
  <c r="AL7" i="17"/>
  <c r="AK7" i="17"/>
  <c r="AJ7" i="17"/>
  <c r="AH7" i="17"/>
  <c r="AG7" i="17"/>
  <c r="AF7" i="17"/>
  <c r="AE7" i="17"/>
  <c r="AR6" i="17"/>
  <c r="AQ6" i="17"/>
  <c r="AP6" i="17"/>
  <c r="AO6" i="17"/>
  <c r="AM6" i="17"/>
  <c r="AL6" i="17"/>
  <c r="AK6" i="17"/>
  <c r="AJ6" i="17"/>
  <c r="AH6" i="17"/>
  <c r="AG6" i="17"/>
  <c r="AF6" i="17"/>
  <c r="AE6" i="17"/>
  <c r="AR5" i="17"/>
  <c r="AQ5" i="17"/>
  <c r="AP5" i="17"/>
  <c r="AO5" i="17"/>
  <c r="AM5" i="17"/>
  <c r="AL5" i="17"/>
  <c r="AK5" i="17"/>
  <c r="AJ5" i="17"/>
  <c r="AR4" i="17"/>
  <c r="AQ4" i="17"/>
  <c r="AP4" i="17"/>
  <c r="AO4" i="17"/>
  <c r="AM4" i="17"/>
  <c r="AL4" i="17"/>
  <c r="AK4" i="17"/>
  <c r="AJ4" i="17"/>
  <c r="AH4" i="17"/>
  <c r="AG4" i="17"/>
  <c r="AF4" i="17"/>
  <c r="AE4" i="17"/>
  <c r="F42" i="25" l="1"/>
  <c r="F43" i="25"/>
  <c r="G43" i="25" s="1"/>
  <c r="G42" i="25"/>
  <c r="H18" i="21"/>
  <c r="C24" i="21" s="1"/>
  <c r="H19" i="21"/>
  <c r="C25" i="21" s="1"/>
  <c r="I19" i="22"/>
  <c r="D25" i="22" s="1"/>
  <c r="E25" i="22" s="1"/>
  <c r="K18" i="22"/>
  <c r="J21" i="22"/>
  <c r="K18" i="20"/>
  <c r="J21" i="20"/>
  <c r="K19" i="19"/>
  <c r="J21" i="19"/>
  <c r="K19" i="22"/>
  <c r="K21" i="21"/>
  <c r="E25" i="20"/>
  <c r="K19" i="20"/>
  <c r="K21" i="20" s="1"/>
  <c r="I18" i="20"/>
  <c r="D24" i="20" s="1"/>
  <c r="E24" i="20" s="1"/>
  <c r="F24" i="20" s="1"/>
  <c r="K18" i="19"/>
  <c r="I19" i="19"/>
  <c r="D25" i="19" s="1"/>
  <c r="C25" i="19"/>
  <c r="H18" i="19"/>
  <c r="K18" i="18"/>
  <c r="J21" i="18"/>
  <c r="I19" i="18"/>
  <c r="D25" i="18" s="1"/>
  <c r="C25" i="18"/>
  <c r="K19" i="18"/>
  <c r="H18" i="18"/>
  <c r="K18" i="17"/>
  <c r="K19" i="17"/>
  <c r="K21" i="17" s="1"/>
  <c r="J21" i="17"/>
  <c r="C24" i="17"/>
  <c r="E25" i="17" s="1"/>
  <c r="I18" i="17"/>
  <c r="D24" i="17" s="1"/>
  <c r="J19" i="16"/>
  <c r="H19" i="16"/>
  <c r="C19" i="16"/>
  <c r="Q51" i="16"/>
  <c r="Q50" i="16"/>
  <c r="Q43" i="16"/>
  <c r="Q42" i="16"/>
  <c r="Q35" i="16"/>
  <c r="Q34" i="16"/>
  <c r="Q27" i="16"/>
  <c r="Q26" i="16"/>
  <c r="Q20" i="16"/>
  <c r="Q19" i="16"/>
  <c r="Q18" i="16"/>
  <c r="Q64" i="16"/>
  <c r="P64" i="16"/>
  <c r="Q63" i="16"/>
  <c r="P63" i="16"/>
  <c r="Q62" i="16"/>
  <c r="P62" i="16"/>
  <c r="Q61" i="16"/>
  <c r="P61" i="16"/>
  <c r="Q60" i="16"/>
  <c r="P60" i="16"/>
  <c r="Q59" i="16"/>
  <c r="P59" i="16"/>
  <c r="Q58" i="16"/>
  <c r="P58" i="16"/>
  <c r="Q57" i="16"/>
  <c r="P57" i="16"/>
  <c r="Q56" i="16"/>
  <c r="P56" i="16"/>
  <c r="Q55" i="16"/>
  <c r="P55" i="16"/>
  <c r="Q54" i="16"/>
  <c r="P54" i="16"/>
  <c r="AQ53" i="16"/>
  <c r="Q53" i="16"/>
  <c r="P53" i="16"/>
  <c r="AQ52" i="16"/>
  <c r="Q52" i="16"/>
  <c r="P52" i="16"/>
  <c r="AQ51" i="16"/>
  <c r="P51" i="16"/>
  <c r="AQ50" i="16"/>
  <c r="P50" i="16"/>
  <c r="AQ49" i="16"/>
  <c r="Q49" i="16"/>
  <c r="P49" i="16"/>
  <c r="AQ48" i="16"/>
  <c r="Q48" i="16"/>
  <c r="P48" i="16"/>
  <c r="AQ47" i="16"/>
  <c r="Q47" i="16"/>
  <c r="P47" i="16"/>
  <c r="AQ46" i="16"/>
  <c r="Q46" i="16"/>
  <c r="P46" i="16"/>
  <c r="AQ45" i="16"/>
  <c r="Q45" i="16"/>
  <c r="P45" i="16"/>
  <c r="AQ44" i="16"/>
  <c r="Q44" i="16"/>
  <c r="P44" i="16"/>
  <c r="AQ43" i="16"/>
  <c r="P43" i="16"/>
  <c r="AQ42" i="16"/>
  <c r="P42" i="16"/>
  <c r="AQ41" i="16"/>
  <c r="Q41" i="16"/>
  <c r="P41" i="16"/>
  <c r="AQ40" i="16"/>
  <c r="Q40" i="16"/>
  <c r="P40" i="16"/>
  <c r="AQ39" i="16"/>
  <c r="Q39" i="16"/>
  <c r="P39" i="16"/>
  <c r="AQ38" i="16"/>
  <c r="Q38" i="16"/>
  <c r="P38" i="16"/>
  <c r="AQ37" i="16"/>
  <c r="Q37" i="16"/>
  <c r="P37" i="16"/>
  <c r="AQ36" i="16"/>
  <c r="Q36" i="16"/>
  <c r="P36" i="16"/>
  <c r="AQ35" i="16"/>
  <c r="P35" i="16"/>
  <c r="AQ34" i="16"/>
  <c r="P34" i="16"/>
  <c r="AQ33" i="16"/>
  <c r="Q33" i="16"/>
  <c r="P33" i="16"/>
  <c r="AQ32" i="16"/>
  <c r="Q32" i="16"/>
  <c r="P32" i="16"/>
  <c r="AQ31" i="16"/>
  <c r="Q31" i="16"/>
  <c r="P31" i="16"/>
  <c r="AQ30" i="16"/>
  <c r="Q30" i="16"/>
  <c r="P30" i="16"/>
  <c r="AQ29" i="16"/>
  <c r="Q29" i="16"/>
  <c r="P29" i="16"/>
  <c r="AQ28" i="16"/>
  <c r="Q28" i="16"/>
  <c r="P28" i="16"/>
  <c r="AQ27" i="16"/>
  <c r="P27" i="16"/>
  <c r="AQ26" i="16"/>
  <c r="P26" i="16"/>
  <c r="AQ25" i="16"/>
  <c r="Q25" i="16"/>
  <c r="P25" i="16"/>
  <c r="AQ24" i="16"/>
  <c r="Q24" i="16"/>
  <c r="P24" i="16"/>
  <c r="AQ23" i="16"/>
  <c r="Q23" i="16"/>
  <c r="P23" i="16"/>
  <c r="F23" i="16"/>
  <c r="G23" i="16" s="1"/>
  <c r="AQ22" i="16"/>
  <c r="Q22" i="16"/>
  <c r="P22" i="16"/>
  <c r="F22" i="16"/>
  <c r="AQ21" i="16"/>
  <c r="Q21" i="16"/>
  <c r="P21" i="16"/>
  <c r="AQ20" i="16"/>
  <c r="P20" i="16"/>
  <c r="AQ19" i="16"/>
  <c r="P19" i="16"/>
  <c r="G19" i="16"/>
  <c r="AQ18" i="16"/>
  <c r="P18" i="16"/>
  <c r="J18" i="16"/>
  <c r="G18" i="16"/>
  <c r="K18" i="16" s="1"/>
  <c r="C18" i="16"/>
  <c r="AQ17" i="16"/>
  <c r="Q17" i="16"/>
  <c r="P17" i="16"/>
  <c r="J17" i="16"/>
  <c r="AQ16" i="16"/>
  <c r="Q16" i="16"/>
  <c r="P16" i="16"/>
  <c r="AQ15" i="16"/>
  <c r="Q15" i="16"/>
  <c r="P15" i="16"/>
  <c r="AQ14" i="16"/>
  <c r="Q14" i="16"/>
  <c r="P14" i="16"/>
  <c r="AQ13" i="16"/>
  <c r="AR8" i="16"/>
  <c r="AQ8" i="16"/>
  <c r="AP8" i="16"/>
  <c r="AO8" i="16"/>
  <c r="AM8" i="16"/>
  <c r="AL8" i="16"/>
  <c r="AK8" i="16"/>
  <c r="AJ8" i="16"/>
  <c r="AH8" i="16"/>
  <c r="AG8" i="16"/>
  <c r="AF8" i="16"/>
  <c r="AE8" i="16"/>
  <c r="AR7" i="16"/>
  <c r="AQ7" i="16"/>
  <c r="AP7" i="16"/>
  <c r="AO7" i="16"/>
  <c r="AM7" i="16"/>
  <c r="AL7" i="16"/>
  <c r="AK7" i="16"/>
  <c r="AJ7" i="16"/>
  <c r="AH7" i="16"/>
  <c r="AG7" i="16"/>
  <c r="AF7" i="16"/>
  <c r="AE7" i="16"/>
  <c r="AR6" i="16"/>
  <c r="AQ6" i="16"/>
  <c r="AP6" i="16"/>
  <c r="AO6" i="16"/>
  <c r="AM6" i="16"/>
  <c r="AL6" i="16"/>
  <c r="AK6" i="16"/>
  <c r="AJ6" i="16"/>
  <c r="AH6" i="16"/>
  <c r="AG6" i="16"/>
  <c r="AF6" i="16"/>
  <c r="AE6" i="16"/>
  <c r="AR5" i="16"/>
  <c r="AQ5" i="16"/>
  <c r="AP5" i="16"/>
  <c r="AO5" i="16"/>
  <c r="AM5" i="16"/>
  <c r="AL5" i="16"/>
  <c r="AK5" i="16"/>
  <c r="AJ5" i="16"/>
  <c r="AR4" i="16"/>
  <c r="AQ4" i="16"/>
  <c r="AP4" i="16"/>
  <c r="AO4" i="16"/>
  <c r="AM4" i="16"/>
  <c r="AL4" i="16"/>
  <c r="AK4" i="16"/>
  <c r="AJ4" i="16"/>
  <c r="AH4" i="16"/>
  <c r="AG4" i="16"/>
  <c r="AF4" i="16"/>
  <c r="H18" i="16" s="1"/>
  <c r="AE4" i="16"/>
  <c r="I19" i="21" l="1"/>
  <c r="D25" i="21" s="1"/>
  <c r="E25" i="21"/>
  <c r="I18" i="21"/>
  <c r="D24" i="21"/>
  <c r="E24" i="21" s="1"/>
  <c r="F24" i="21" s="1"/>
  <c r="F25" i="21" s="1"/>
  <c r="G25" i="21" s="1"/>
  <c r="K21" i="19"/>
  <c r="K21" i="18"/>
  <c r="K21" i="22"/>
  <c r="D24" i="22"/>
  <c r="E24" i="22" s="1"/>
  <c r="F24" i="22" s="1"/>
  <c r="F25" i="22" s="1"/>
  <c r="G25" i="22" s="1"/>
  <c r="F25" i="20"/>
  <c r="G25" i="20" s="1"/>
  <c r="G24" i="20"/>
  <c r="C24" i="19"/>
  <c r="E25" i="19" s="1"/>
  <c r="I18" i="19"/>
  <c r="D24" i="19" s="1"/>
  <c r="C24" i="18"/>
  <c r="I18" i="18"/>
  <c r="D24" i="18" s="1"/>
  <c r="E24" i="17"/>
  <c r="F24" i="17" s="1"/>
  <c r="F25" i="17" s="1"/>
  <c r="G25" i="17" s="1"/>
  <c r="K19" i="16"/>
  <c r="K21" i="16"/>
  <c r="J21" i="16"/>
  <c r="I19" i="16"/>
  <c r="D25" i="16" s="1"/>
  <c r="C25" i="16"/>
  <c r="C24" i="16"/>
  <c r="I18" i="16"/>
  <c r="G24" i="21" l="1"/>
  <c r="G24" i="22"/>
  <c r="E24" i="19"/>
  <c r="F24" i="19" s="1"/>
  <c r="F25" i="19" s="1"/>
  <c r="G25" i="19" s="1"/>
  <c r="E24" i="18"/>
  <c r="F24" i="18" s="1"/>
  <c r="E25" i="18"/>
  <c r="G24" i="17"/>
  <c r="E25" i="16"/>
  <c r="D24" i="16"/>
  <c r="E24" i="16" s="1"/>
  <c r="F24" i="16" s="1"/>
  <c r="G24" i="19" l="1"/>
  <c r="F25" i="18"/>
  <c r="G25" i="18" s="1"/>
  <c r="G24" i="18"/>
  <c r="F25" i="16"/>
  <c r="G25" i="16" s="1"/>
  <c r="G24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<sst xmlns="http://schemas.openxmlformats.org/spreadsheetml/2006/main" count="1314" uniqueCount="178">
  <si>
    <t>Selection of springs</t>
  </si>
  <si>
    <t>order-</t>
  </si>
  <si>
    <t>De</t>
  </si>
  <si>
    <t>Di</t>
  </si>
  <si>
    <t>t</t>
  </si>
  <si>
    <t>t'</t>
  </si>
  <si>
    <r>
      <t>l</t>
    </r>
    <r>
      <rPr>
        <vertAlign val="subscript"/>
        <sz val="8"/>
        <rFont val="Times New Roman"/>
        <family val="1"/>
      </rPr>
      <t>0</t>
    </r>
  </si>
  <si>
    <r>
      <t>h</t>
    </r>
    <r>
      <rPr>
        <vertAlign val="subscript"/>
        <sz val="8"/>
        <rFont val="Times New Roman"/>
        <family val="1"/>
      </rPr>
      <t>0</t>
    </r>
  </si>
  <si>
    <r>
      <t>h</t>
    </r>
    <r>
      <rPr>
        <vertAlign val="subscript"/>
        <sz val="8"/>
        <rFont val="Times New Roman"/>
        <family val="1"/>
      </rPr>
      <t>0</t>
    </r>
    <r>
      <rPr>
        <sz val="8"/>
        <rFont val="Times New Roman"/>
        <family val="1"/>
      </rPr>
      <t>/t</t>
    </r>
  </si>
  <si>
    <t>s</t>
  </si>
  <si>
    <t>F</t>
  </si>
  <si>
    <r>
      <t>s</t>
    </r>
    <r>
      <rPr>
        <vertAlign val="subscript"/>
        <sz val="8"/>
        <rFont val="Symbol"/>
        <family val="1"/>
        <charset val="2"/>
      </rPr>
      <t>1</t>
    </r>
  </si>
  <si>
    <r>
      <t>s</t>
    </r>
    <r>
      <rPr>
        <vertAlign val="subscript"/>
        <sz val="8"/>
        <rFont val="Symbol"/>
        <family val="1"/>
        <charset val="2"/>
      </rPr>
      <t>2</t>
    </r>
  </si>
  <si>
    <r>
      <t>s</t>
    </r>
    <r>
      <rPr>
        <vertAlign val="subscript"/>
        <sz val="8"/>
        <rFont val="Symbol"/>
        <family val="1"/>
        <charset val="2"/>
      </rPr>
      <t>3</t>
    </r>
  </si>
  <si>
    <t>in kg</t>
  </si>
  <si>
    <t>K25</t>
  </si>
  <si>
    <t>K50</t>
  </si>
  <si>
    <t>K75</t>
  </si>
  <si>
    <t>K100</t>
  </si>
  <si>
    <t>D</t>
  </si>
  <si>
    <t>18 0011</t>
  </si>
  <si>
    <t>797</t>
  </si>
  <si>
    <t>224</t>
  </si>
  <si>
    <t>449</t>
  </si>
  <si>
    <t>1512</t>
  </si>
  <si>
    <t>530</t>
  </si>
  <si>
    <t>844</t>
  </si>
  <si>
    <t>2145</t>
  </si>
  <si>
    <t>917</t>
  </si>
  <si>
    <t>1187</t>
  </si>
  <si>
    <t>2696</t>
  </si>
  <si>
    <t>1386</t>
  </si>
  <si>
    <t>1478</t>
  </si>
  <si>
    <t>18 0019</t>
  </si>
  <si>
    <t>942</t>
  </si>
  <si>
    <t>283</t>
  </si>
  <si>
    <t>495</t>
  </si>
  <si>
    <t>1790</t>
  </si>
  <si>
    <t>660</t>
  </si>
  <si>
    <t>933</t>
  </si>
  <si>
    <t>2543</t>
  </si>
  <si>
    <t>1131</t>
  </si>
  <si>
    <t>1313</t>
  </si>
  <si>
    <t>3203</t>
  </si>
  <si>
    <t>1696</t>
  </si>
  <si>
    <t>1635</t>
  </si>
  <si>
    <t>18 0020</t>
  </si>
  <si>
    <t>877</t>
  </si>
  <si>
    <t>445</t>
  </si>
  <si>
    <t>1692</t>
  </si>
  <si>
    <t>952</t>
  </si>
  <si>
    <t>860</t>
  </si>
  <si>
    <t>2446</t>
  </si>
  <si>
    <t>1520</t>
  </si>
  <si>
    <t>1234</t>
  </si>
  <si>
    <t>3138</t>
  </si>
  <si>
    <t>2150</t>
  </si>
  <si>
    <t>1570</t>
  </si>
  <si>
    <t>18 0029</t>
  </si>
  <si>
    <t>897</t>
  </si>
  <si>
    <t>375</t>
  </si>
  <si>
    <t>402</t>
  </si>
  <si>
    <t>1719</t>
  </si>
  <si>
    <t>825</t>
  </si>
  <si>
    <t>764</t>
  </si>
  <si>
    <t>2467</t>
  </si>
  <si>
    <t>1349</t>
  </si>
  <si>
    <t>1084</t>
  </si>
  <si>
    <t>3141</t>
  </si>
  <si>
    <t>1948</t>
  </si>
  <si>
    <t>1364</t>
  </si>
  <si>
    <t>Heave ratio</t>
  </si>
  <si>
    <t>Linear coil + bellevilles stack</t>
  </si>
  <si>
    <t>Target</t>
  </si>
  <si>
    <t>L0</t>
  </si>
  <si>
    <t>Bellevilles only (No Coil) @ Damper</t>
  </si>
  <si>
    <t>Linear spring</t>
  </si>
  <si>
    <t>Linear clearance</t>
  </si>
  <si>
    <t>mm</t>
  </si>
  <si>
    <t>Travel</t>
  </si>
  <si>
    <t>F (L+R)</t>
  </si>
  <si>
    <t>Travel (MR)</t>
  </si>
  <si>
    <t>F (MR)</t>
  </si>
  <si>
    <t>Simulink 1</t>
  </si>
  <si>
    <t>Linear</t>
  </si>
  <si>
    <t>N/mm</t>
  </si>
  <si>
    <t>Stack #</t>
  </si>
  <si>
    <t>Type</t>
  </si>
  <si>
    <t>Series #</t>
  </si>
  <si>
    <t>Parallels #</t>
  </si>
  <si>
    <t>Travel (1)</t>
  </si>
  <si>
    <t>Travel Tot</t>
  </si>
  <si>
    <t>Force</t>
  </si>
  <si>
    <t>K avg</t>
  </si>
  <si>
    <t>Lmin</t>
  </si>
  <si>
    <t>Clearance</t>
  </si>
  <si>
    <t>Step #</t>
  </si>
  <si>
    <t>K corr</t>
  </si>
  <si>
    <t>dTravel</t>
  </si>
  <si>
    <t>F tot (w lin)</t>
  </si>
  <si>
    <t>Tot L</t>
  </si>
  <si>
    <t>a</t>
  </si>
  <si>
    <t>EoS Travel</t>
  </si>
  <si>
    <t>~1/4 of max travel</t>
  </si>
  <si>
    <t>2/4</t>
  </si>
  <si>
    <t>3/4</t>
  </si>
  <si>
    <t>4/4</t>
  </si>
  <si>
    <t>"Rules of the game"</t>
  </si>
  <si>
    <t>Cross line to be fitted at 50%,75%,100% of the travel</t>
  </si>
  <si>
    <t>18 0014</t>
  </si>
  <si>
    <t>879</t>
  </si>
  <si>
    <t>481</t>
  </si>
  <si>
    <t>480</t>
  </si>
  <si>
    <t>1702</t>
  </si>
  <si>
    <t>1020</t>
  </si>
  <si>
    <t>924</t>
  </si>
  <si>
    <t>1615</t>
  </si>
  <si>
    <t>1331</t>
  </si>
  <si>
    <t>3176</t>
  </si>
  <si>
    <t>2267</t>
  </si>
  <si>
    <t>1701</t>
  </si>
  <si>
    <t>Start with coil spring when F&gt;50N Fmax</t>
  </si>
  <si>
    <t>25 % stroke</t>
  </si>
  <si>
    <t>50 % stroke</t>
  </si>
  <si>
    <t>75 % stroke</t>
  </si>
  <si>
    <t>100 % stroke</t>
  </si>
  <si>
    <t>???? Che molle abbiamo???</t>
  </si>
  <si>
    <t>Model name:</t>
  </si>
  <si>
    <t>SCG007C_R07_500kW_BaseSetupSiff_V3</t>
  </si>
  <si>
    <t>Front</t>
  </si>
  <si>
    <t>Rear</t>
  </si>
  <si>
    <t>5Hz</t>
  </si>
  <si>
    <t>4 Hz</t>
  </si>
  <si>
    <t>6 Hz</t>
  </si>
  <si>
    <t>8 Hz</t>
  </si>
  <si>
    <t>7 Hz</t>
  </si>
  <si>
    <t>9 Hz</t>
  </si>
  <si>
    <t>Speed EoS</t>
  </si>
  <si>
    <t>328 km/h</t>
  </si>
  <si>
    <t>Frh</t>
  </si>
  <si>
    <t>Rrh</t>
  </si>
  <si>
    <t>FRONT_Clearance</t>
  </si>
  <si>
    <t>REAR_Clearance</t>
  </si>
  <si>
    <t>Test Officina, Macchina non collegabile al PC :(</t>
  </si>
  <si>
    <t>[mm]</t>
  </si>
  <si>
    <t>[lbs]</t>
  </si>
  <si>
    <t>[N/mm]</t>
  </si>
  <si>
    <t>offset</t>
  </si>
  <si>
    <t>Canopy</t>
  </si>
  <si>
    <t>Canopy Model</t>
  </si>
  <si>
    <t>RH static 65/85</t>
  </si>
  <si>
    <t>TriBumpStopF</t>
  </si>
  <si>
    <t>Stroke</t>
  </si>
  <si>
    <t>xBumpFL</t>
  </si>
  <si>
    <t>TriBumpStopR</t>
  </si>
  <si>
    <t>xBumpRL</t>
  </si>
  <si>
    <t>Static</t>
  </si>
  <si>
    <t>TopSpeed(330kph)</t>
  </si>
  <si>
    <t>Ride Heights</t>
  </si>
  <si>
    <t>FrontAxle</t>
  </si>
  <si>
    <t>RearAxle</t>
  </si>
  <si>
    <t>From Stack curves (to match forces)</t>
  </si>
  <si>
    <t>RH static 60/85</t>
  </si>
  <si>
    <t>SetupGaps REAL</t>
  </si>
  <si>
    <t>Coeff Model To Real</t>
  </si>
  <si>
    <t>(GAP R)</t>
  </si>
  <si>
    <t>(GAP F)</t>
  </si>
  <si>
    <t xml:space="preserve">MR Front (model) </t>
  </si>
  <si>
    <t>MR Rear (model)</t>
  </si>
  <si>
    <t>3el. stroke computed considering hysteresis effects</t>
  </si>
  <si>
    <t>MR Canopy</t>
  </si>
  <si>
    <t>Delta from tgt</t>
  </si>
  <si>
    <t>DamTravel</t>
  </si>
  <si>
    <t>Delta from Simulink</t>
  </si>
  <si>
    <t>Stack Travel</t>
  </si>
  <si>
    <t xml:space="preserve">Target F [N] </t>
  </si>
  <si>
    <t>Simulink F [N]</t>
  </si>
  <si>
    <t>Exp. Meas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</si>
</sst>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Times New Roman"/>
      <family val="1"/>
    </font>
    <font>
      <vertAlign val="subscript"/>
      <sz val="8"/>
      <name val="Times New Roman"/>
      <family val="1"/>
    </font>
    <font>
      <sz val="8"/>
      <name val="Symbol"/>
      <family val="1"/>
      <charset val="2"/>
    </font>
    <font>
      <vertAlign val="subscript"/>
      <sz val="8"/>
      <name val="Symbol"/>
      <family val="1"/>
      <charset val="2"/>
    </font>
    <font>
      <b/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name val="Times New Roman"/>
      <family val="1"/>
    </font>
    <font>
      <i/>
      <sz val="11"/>
      <color theme="1"/>
      <name val="Calibri"/>
      <family val="2"/>
      <scheme val="minor"/>
    </font>
    <font>
      <b/>
      <sz val="8"/>
      <name val="Symbol"/>
      <family val="1"/>
      <charset val="2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</fills>
  <borders count="5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rgb="FFB2B2B2"/>
      </left>
      <right style="thin">
        <color indexed="64"/>
      </right>
      <top style="thin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</borders>
  <cellStyleXfs count="8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5" fillId="15" borderId="1" applyNumberFormat="0" applyAlignment="0" applyProtection="0"/>
    <xf numFmtId="0" fontId="1" fillId="16" borderId="40" applyNumberFormat="0" applyFont="0" applyAlignment="0" applyProtection="0"/>
    <xf numFmtId="9" fontId="1" fillId="0" borderId="0" applyFont="0" applyFill="0" applyBorder="0" applyAlignment="0" applyProtection="0"/>
    <xf numFmtId="0" fontId="18" fillId="22" borderId="0" applyNumberFormat="0" applyBorder="0" applyAlignment="0" applyProtection="0"/>
  </cellStyleXfs>
  <cellXfs count="189">
    <xf numFmtId="0" fontId="0" fillId="0" borderId="0" xfId="0"/>
    <xf numFmtId="0" fontId="3" fillId="0" borderId="0" xfId="0" applyFont="1"/>
    <xf numFmtId="2" fontId="4" fillId="0" borderId="2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2" fontId="4" fillId="0" borderId="6" xfId="0" applyNumberFormat="1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8" xfId="0" applyNumberFormat="1" applyFont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2" fontId="8" fillId="0" borderId="9" xfId="0" applyNumberFormat="1" applyFont="1" applyBorder="1" applyAlignment="1">
      <alignment horizontal="left"/>
    </xf>
    <xf numFmtId="0" fontId="0" fillId="5" borderId="10" xfId="0" applyFill="1" applyBorder="1"/>
    <xf numFmtId="0" fontId="9" fillId="0" borderId="11" xfId="0" applyFont="1" applyBorder="1"/>
    <xf numFmtId="0" fontId="0" fillId="0" borderId="12" xfId="0" applyBorder="1"/>
    <xf numFmtId="0" fontId="0" fillId="0" borderId="13" xfId="0" applyBorder="1"/>
    <xf numFmtId="0" fontId="3" fillId="0" borderId="11" xfId="0" applyFont="1" applyBorder="1"/>
    <xf numFmtId="0" fontId="0" fillId="0" borderId="11" xfId="0" applyBorder="1"/>
    <xf numFmtId="0" fontId="0" fillId="0" borderId="0" xfId="0" applyAlignment="1">
      <alignment horizontal="left"/>
    </xf>
    <xf numFmtId="0" fontId="3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3" fillId="0" borderId="16" xfId="0" applyFont="1" applyBorder="1"/>
    <xf numFmtId="0" fontId="1" fillId="4" borderId="0" xfId="3"/>
    <xf numFmtId="1" fontId="1" fillId="4" borderId="0" xfId="3" applyNumberFormat="1"/>
    <xf numFmtId="165" fontId="0" fillId="0" borderId="0" xfId="0" applyNumberFormat="1"/>
    <xf numFmtId="1" fontId="1" fillId="3" borderId="0" xfId="2" applyNumberFormat="1"/>
    <xf numFmtId="0" fontId="0" fillId="6" borderId="0" xfId="0" applyFill="1"/>
    <xf numFmtId="1" fontId="0" fillId="6" borderId="0" xfId="0" applyNumberFormat="1" applyFill="1"/>
    <xf numFmtId="0" fontId="0" fillId="0" borderId="14" xfId="0" applyBorder="1"/>
    <xf numFmtId="0" fontId="2" fillId="2" borderId="1" xfId="1"/>
    <xf numFmtId="2" fontId="0" fillId="7" borderId="0" xfId="0" applyNumberFormat="1" applyFill="1"/>
    <xf numFmtId="164" fontId="2" fillId="2" borderId="1" xfId="1" applyNumberFormat="1"/>
    <xf numFmtId="1" fontId="0" fillId="7" borderId="0" xfId="0" applyNumberFormat="1" applyFill="1"/>
    <xf numFmtId="165" fontId="0" fillId="7" borderId="0" xfId="0" applyNumberFormat="1" applyFill="1"/>
    <xf numFmtId="0" fontId="3" fillId="0" borderId="9" xfId="0" applyFont="1" applyBorder="1"/>
    <xf numFmtId="165" fontId="0" fillId="0" borderId="19" xfId="0" applyNumberFormat="1" applyBorder="1"/>
    <xf numFmtId="1" fontId="0" fillId="0" borderId="10" xfId="0" applyNumberFormat="1" applyBorder="1"/>
    <xf numFmtId="0" fontId="1" fillId="3" borderId="0" xfId="2"/>
    <xf numFmtId="2" fontId="4" fillId="8" borderId="7" xfId="0" applyNumberFormat="1" applyFont="1" applyFill="1" applyBorder="1" applyAlignment="1">
      <alignment horizontal="center"/>
    </xf>
    <xf numFmtId="1" fontId="0" fillId="5" borderId="0" xfId="0" applyNumberFormat="1" applyFill="1"/>
    <xf numFmtId="2" fontId="10" fillId="0" borderId="9" xfId="0" applyNumberFormat="1" applyFont="1" applyBorder="1" applyAlignment="1">
      <alignment horizontal="center"/>
    </xf>
    <xf numFmtId="165" fontId="0" fillId="5" borderId="0" xfId="0" applyNumberFormat="1" applyFill="1"/>
    <xf numFmtId="0" fontId="11" fillId="0" borderId="0" xfId="0" applyFont="1"/>
    <xf numFmtId="16" fontId="11" fillId="0" borderId="0" xfId="0" quotePrefix="1" applyNumberFormat="1" applyFont="1"/>
    <xf numFmtId="0" fontId="11" fillId="0" borderId="0" xfId="0" quotePrefix="1" applyFont="1"/>
    <xf numFmtId="165" fontId="0" fillId="0" borderId="0" xfId="0" applyNumberFormat="1" applyFill="1"/>
    <xf numFmtId="1" fontId="0" fillId="0" borderId="0" xfId="0" applyNumberFormat="1" applyFill="1"/>
    <xf numFmtId="2" fontId="12" fillId="9" borderId="23" xfId="0" applyNumberFormat="1" applyFont="1" applyFill="1" applyBorder="1" applyAlignment="1">
      <alignment horizontal="center"/>
    </xf>
    <xf numFmtId="2" fontId="12" fillId="9" borderId="24" xfId="0" applyNumberFormat="1" applyFont="1" applyFill="1" applyBorder="1" applyAlignment="1">
      <alignment horizontal="center"/>
    </xf>
    <xf numFmtId="2" fontId="12" fillId="9" borderId="25" xfId="0" applyNumberFormat="1" applyFont="1" applyFill="1" applyBorder="1" applyAlignment="1">
      <alignment horizontal="center"/>
    </xf>
    <xf numFmtId="2" fontId="6" fillId="9" borderId="23" xfId="0" applyNumberFormat="1" applyFont="1" applyFill="1" applyBorder="1" applyAlignment="1">
      <alignment horizontal="center"/>
    </xf>
    <xf numFmtId="2" fontId="6" fillId="9" borderId="24" xfId="0" applyNumberFormat="1" applyFont="1" applyFill="1" applyBorder="1" applyAlignment="1">
      <alignment horizontal="center"/>
    </xf>
    <xf numFmtId="2" fontId="6" fillId="9" borderId="25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  <xf numFmtId="0" fontId="13" fillId="11" borderId="0" xfId="0" applyFont="1" applyFill="1" applyAlignment="1">
      <alignment horizontal="center"/>
    </xf>
    <xf numFmtId="0" fontId="0" fillId="0" borderId="27" xfId="0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19" xfId="0" applyBorder="1"/>
    <xf numFmtId="0" fontId="0" fillId="0" borderId="19" xfId="0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0" fillId="0" borderId="33" xfId="0" applyBorder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0" fillId="0" borderId="36" xfId="0" applyBorder="1"/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3" fillId="10" borderId="27" xfId="0" applyFont="1" applyFill="1" applyBorder="1" applyAlignment="1">
      <alignment horizontal="center"/>
    </xf>
    <xf numFmtId="0" fontId="13" fillId="12" borderId="27" xfId="0" applyFont="1" applyFill="1" applyBorder="1" applyAlignment="1">
      <alignment horizontal="center"/>
    </xf>
    <xf numFmtId="0" fontId="3" fillId="13" borderId="27" xfId="0" applyFont="1" applyFill="1" applyBorder="1" applyAlignment="1">
      <alignment horizontal="center"/>
    </xf>
    <xf numFmtId="0" fontId="3" fillId="13" borderId="28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/>
    <xf numFmtId="0" fontId="3" fillId="14" borderId="0" xfId="0" applyFont="1" applyFill="1"/>
    <xf numFmtId="0" fontId="0" fillId="0" borderId="0" xfId="0" applyAlignment="1"/>
    <xf numFmtId="0" fontId="3" fillId="10" borderId="0" xfId="0" applyFont="1" applyFill="1"/>
    <xf numFmtId="0" fontId="3" fillId="0" borderId="0" xfId="0" applyFont="1" applyFill="1"/>
    <xf numFmtId="0" fontId="0" fillId="0" borderId="0" xfId="0" applyFill="1" applyAlignment="1">
      <alignment horizontal="center"/>
    </xf>
    <xf numFmtId="0" fontId="3" fillId="5" borderId="11" xfId="0" applyFont="1" applyFill="1" applyBorder="1"/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1" xfId="0" applyFill="1" applyBorder="1"/>
    <xf numFmtId="0" fontId="0" fillId="0" borderId="41" xfId="0" applyBorder="1"/>
    <xf numFmtId="0" fontId="3" fillId="0" borderId="8" xfId="0" applyFont="1" applyBorder="1" applyAlignment="1">
      <alignment horizontal="center"/>
    </xf>
    <xf numFmtId="166" fontId="0" fillId="0" borderId="4" xfId="0" applyNumberFormat="1" applyBorder="1"/>
    <xf numFmtId="0" fontId="0" fillId="0" borderId="9" xfId="0" applyBorder="1" applyAlignment="1">
      <alignment horizontal="center"/>
    </xf>
    <xf numFmtId="166" fontId="0" fillId="0" borderId="5" xfId="0" applyNumberFormat="1" applyBorder="1"/>
    <xf numFmtId="0" fontId="3" fillId="5" borderId="41" xfId="0" applyFont="1" applyFill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2" fontId="9" fillId="0" borderId="4" xfId="0" applyNumberFormat="1" applyFont="1" applyBorder="1" applyAlignment="1">
      <alignment horizontal="center"/>
    </xf>
    <xf numFmtId="0" fontId="3" fillId="10" borderId="11" xfId="0" applyFont="1" applyFill="1" applyBorder="1"/>
    <xf numFmtId="0" fontId="3" fillId="0" borderId="12" xfId="0" applyFont="1" applyFill="1" applyBorder="1"/>
    <xf numFmtId="0" fontId="0" fillId="0" borderId="14" xfId="0" applyBorder="1" applyAlignment="1">
      <alignment horizontal="center"/>
    </xf>
    <xf numFmtId="0" fontId="2" fillId="2" borderId="1" xfId="1" applyBorder="1" applyAlignment="1">
      <alignment horizontal="center"/>
    </xf>
    <xf numFmtId="0" fontId="0" fillId="13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17" borderId="0" xfId="0" applyFill="1" applyBorder="1" applyAlignment="1">
      <alignment horizontal="center" vertical="center" wrapText="1"/>
    </xf>
    <xf numFmtId="0" fontId="0" fillId="17" borderId="15" xfId="0" applyFill="1" applyBorder="1" applyAlignment="1">
      <alignment horizontal="center" vertical="center" wrapText="1"/>
    </xf>
    <xf numFmtId="0" fontId="0" fillId="17" borderId="17" xfId="0" applyFill="1" applyBorder="1" applyAlignment="1">
      <alignment horizontal="center" vertical="center" wrapText="1"/>
    </xf>
    <xf numFmtId="0" fontId="0" fillId="17" borderId="18" xfId="0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2" fillId="2" borderId="46" xfId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3" fillId="21" borderId="0" xfId="0" applyFont="1" applyFill="1"/>
    <xf numFmtId="0" fontId="17" fillId="14" borderId="0" xfId="0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2" fontId="0" fillId="0" borderId="0" xfId="0" applyNumberFormat="1"/>
    <xf numFmtId="0" fontId="18" fillId="22" borderId="0" xfId="7"/>
    <xf numFmtId="0" fontId="2" fillId="2" borderId="48" xfId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2" xfId="0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0" borderId="42" xfId="0" applyNumberFormat="1" applyBorder="1" applyAlignment="1">
      <alignment horizontal="center"/>
    </xf>
    <xf numFmtId="0" fontId="2" fillId="2" borderId="50" xfId="1" applyBorder="1" applyAlignment="1">
      <alignment horizontal="center"/>
    </xf>
    <xf numFmtId="0" fontId="2" fillId="16" borderId="51" xfId="5" applyFon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9" fontId="0" fillId="0" borderId="15" xfId="6" applyFont="1" applyBorder="1" applyAlignment="1">
      <alignment horizontal="right"/>
    </xf>
    <xf numFmtId="2" fontId="0" fillId="0" borderId="16" xfId="0" applyNumberFormat="1" applyBorder="1" applyAlignment="1">
      <alignment horizontal="center"/>
    </xf>
    <xf numFmtId="9" fontId="0" fillId="0" borderId="18" xfId="6" applyFont="1" applyBorder="1" applyAlignment="1">
      <alignment horizontal="right"/>
    </xf>
    <xf numFmtId="0" fontId="2" fillId="16" borderId="52" xfId="5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9" fontId="0" fillId="0" borderId="0" xfId="6" applyFont="1" applyBorder="1" applyAlignment="1">
      <alignment horizontal="right"/>
    </xf>
    <xf numFmtId="165" fontId="0" fillId="0" borderId="16" xfId="0" applyNumberFormat="1" applyBorder="1" applyAlignment="1">
      <alignment horizontal="center"/>
    </xf>
    <xf numFmtId="9" fontId="0" fillId="0" borderId="17" xfId="6" applyFont="1" applyBorder="1" applyAlignment="1">
      <alignment horizontal="right"/>
    </xf>
    <xf numFmtId="0" fontId="3" fillId="9" borderId="20" xfId="0" applyFont="1" applyFill="1" applyBorder="1" applyAlignment="1">
      <alignment horizontal="center"/>
    </xf>
    <xf numFmtId="0" fontId="3" fillId="9" borderId="21" xfId="0" applyFont="1" applyFill="1" applyBorder="1" applyAlignment="1">
      <alignment horizontal="center"/>
    </xf>
    <xf numFmtId="0" fontId="3" fillId="9" borderId="22" xfId="0" applyFont="1" applyFill="1" applyBorder="1" applyAlignment="1">
      <alignment horizontal="center"/>
    </xf>
    <xf numFmtId="0" fontId="14" fillId="0" borderId="2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3" fillId="10" borderId="26" xfId="0" applyFont="1" applyFill="1" applyBorder="1" applyAlignment="1">
      <alignment horizontal="center"/>
    </xf>
    <xf numFmtId="0" fontId="3" fillId="10" borderId="27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16" borderId="40" xfId="5" applyFont="1" applyBorder="1" applyAlignment="1">
      <alignment horizontal="center" vertical="center" wrapText="1"/>
    </xf>
    <xf numFmtId="0" fontId="0" fillId="16" borderId="45" xfId="5" applyFont="1" applyBorder="1" applyAlignment="1">
      <alignment horizontal="center" vertical="center" wrapText="1"/>
    </xf>
    <xf numFmtId="0" fontId="0" fillId="17" borderId="0" xfId="0" applyFill="1" applyBorder="1" applyAlignment="1">
      <alignment horizontal="center" vertical="center" wrapText="1"/>
    </xf>
    <xf numFmtId="0" fontId="0" fillId="17" borderId="17" xfId="0" applyFill="1" applyBorder="1" applyAlignment="1">
      <alignment horizontal="center" vertical="center" wrapText="1"/>
    </xf>
    <xf numFmtId="0" fontId="3" fillId="18" borderId="26" xfId="0" applyFont="1" applyFill="1" applyBorder="1" applyAlignment="1">
      <alignment horizontal="center"/>
    </xf>
    <xf numFmtId="0" fontId="3" fillId="18" borderId="27" xfId="0" applyFont="1" applyFill="1" applyBorder="1" applyAlignment="1">
      <alignment horizontal="center"/>
    </xf>
    <xf numFmtId="0" fontId="3" fillId="19" borderId="27" xfId="0" applyFont="1" applyFill="1" applyBorder="1" applyAlignment="1">
      <alignment horizontal="center"/>
    </xf>
    <xf numFmtId="0" fontId="3" fillId="19" borderId="28" xfId="0" applyFont="1" applyFill="1" applyBorder="1" applyAlignment="1">
      <alignment horizontal="center"/>
    </xf>
    <xf numFmtId="164" fontId="15" fillId="15" borderId="47" xfId="4" applyNumberFormat="1" applyBorder="1" applyAlignment="1">
      <alignment horizontal="center" vertical="center"/>
    </xf>
    <xf numFmtId="164" fontId="15" fillId="15" borderId="44" xfId="4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20" borderId="43" xfId="0" applyFill="1" applyBorder="1" applyAlignment="1">
      <alignment horizontal="center" vertical="center" wrapText="1"/>
    </xf>
    <xf numFmtId="0" fontId="0" fillId="20" borderId="42" xfId="0" applyFill="1" applyBorder="1" applyAlignment="1">
      <alignment horizontal="center" vertical="center" wrapText="1"/>
    </xf>
    <xf numFmtId="2" fontId="15" fillId="15" borderId="46" xfId="4" applyNumberFormat="1" applyBorder="1" applyAlignment="1">
      <alignment horizontal="center" vertical="center"/>
    </xf>
    <xf numFmtId="2" fontId="15" fillId="15" borderId="1" xfId="4" applyNumberFormat="1" applyBorder="1" applyAlignment="1">
      <alignment horizontal="center" vertical="center"/>
    </xf>
    <xf numFmtId="0" fontId="0" fillId="21" borderId="43" xfId="0" applyFill="1" applyBorder="1" applyAlignment="1">
      <alignment horizontal="center" vertical="center" wrapText="1"/>
    </xf>
    <xf numFmtId="0" fontId="0" fillId="21" borderId="42" xfId="0" applyFill="1" applyBorder="1" applyAlignment="1">
      <alignment horizontal="center" vertical="center" wrapText="1"/>
    </xf>
    <xf numFmtId="0" fontId="16" fillId="17" borderId="0" xfId="0" applyFont="1" applyFill="1" applyBorder="1" applyAlignment="1">
      <alignment horizontal="center" vertical="center" wrapText="1"/>
    </xf>
    <xf numFmtId="0" fontId="16" fillId="17" borderId="17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8">
    <cellStyle name="20% - Accent2" xfId="2" builtinId="34"/>
    <cellStyle name="20% - Accent4" xfId="3" builtinId="42"/>
    <cellStyle name="Calculation" xfId="4" builtinId="22"/>
    <cellStyle name="Good" xfId="7" builtinId="26"/>
    <cellStyle name="Input" xfId="1" builtinId="20"/>
    <cellStyle name="Normal" xfId="0" builtinId="0"/>
    <cellStyle name="Note" xfId="5" builtinId="10"/>
    <cellStyle name="Percent" xfId="6" builtinId="5"/>
  </cellStyles>
  <dxfs count="0"/>
  <tableStyles count="0" defaultTableStyle="TableStyleMedium2" defaultPivotStyle="PivotStyleLight16"/>
  <colors>
    <mruColors>
      <color rgb="FFFF5050"/>
      <color rgb="FF0099FF"/>
      <color rgb="FF00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Front_5Hz!$S$13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Front_5Hz!$S$14:$S$64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</c:numCache>
            </c:numRef>
          </c:xVal>
          <c:yVal>
            <c:numRef>
              <c:f>Front_5Hz!$T$14:$T$64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61</c:v>
                </c:pt>
                <c:pt idx="6">
                  <c:v>122</c:v>
                </c:pt>
                <c:pt idx="7">
                  <c:v>183</c:v>
                </c:pt>
                <c:pt idx="8">
                  <c:v>244</c:v>
                </c:pt>
                <c:pt idx="9">
                  <c:v>305</c:v>
                </c:pt>
                <c:pt idx="10">
                  <c:v>366</c:v>
                </c:pt>
                <c:pt idx="11">
                  <c:v>427</c:v>
                </c:pt>
                <c:pt idx="12">
                  <c:v>488</c:v>
                </c:pt>
                <c:pt idx="13">
                  <c:v>549</c:v>
                </c:pt>
                <c:pt idx="14">
                  <c:v>610</c:v>
                </c:pt>
                <c:pt idx="15">
                  <c:v>671</c:v>
                </c:pt>
                <c:pt idx="16">
                  <c:v>780.15151515151501</c:v>
                </c:pt>
                <c:pt idx="17">
                  <c:v>903.57575757575705</c:v>
                </c:pt>
                <c:pt idx="18">
                  <c:v>1027</c:v>
                </c:pt>
                <c:pt idx="19">
                  <c:v>1150.42424242424</c:v>
                </c:pt>
                <c:pt idx="20">
                  <c:v>1273.84848484849</c:v>
                </c:pt>
                <c:pt idx="21">
                  <c:v>1397.27272727273</c:v>
                </c:pt>
                <c:pt idx="22">
                  <c:v>1520.69696969697</c:v>
                </c:pt>
                <c:pt idx="23">
                  <c:v>1644.12121212121</c:v>
                </c:pt>
                <c:pt idx="24">
                  <c:v>1767.54545454545</c:v>
                </c:pt>
                <c:pt idx="25">
                  <c:v>1890.9696969697</c:v>
                </c:pt>
                <c:pt idx="26">
                  <c:v>2014.3939393939399</c:v>
                </c:pt>
                <c:pt idx="27">
                  <c:v>2137.8181818181802</c:v>
                </c:pt>
                <c:pt idx="28">
                  <c:v>2261.2424242424199</c:v>
                </c:pt>
                <c:pt idx="29">
                  <c:v>2384.6666666666702</c:v>
                </c:pt>
                <c:pt idx="30">
                  <c:v>2508.0909090909099</c:v>
                </c:pt>
                <c:pt idx="31">
                  <c:v>2631.5151515151501</c:v>
                </c:pt>
                <c:pt idx="32">
                  <c:v>2754.9393939393899</c:v>
                </c:pt>
                <c:pt idx="33">
                  <c:v>2878.3636363636401</c:v>
                </c:pt>
                <c:pt idx="34">
                  <c:v>3001.7878787878799</c:v>
                </c:pt>
                <c:pt idx="35">
                  <c:v>3125.2121212121201</c:v>
                </c:pt>
                <c:pt idx="36">
                  <c:v>3248.6363636363599</c:v>
                </c:pt>
                <c:pt idx="37">
                  <c:v>3372.0606060606101</c:v>
                </c:pt>
                <c:pt idx="38">
                  <c:v>3507.1598947676098</c:v>
                </c:pt>
                <c:pt idx="39">
                  <c:v>3664.5059923998801</c:v>
                </c:pt>
                <c:pt idx="40">
                  <c:v>3821.85209003215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C9-43E7-9270-7B67509287BC}"/>
            </c:ext>
          </c:extLst>
        </c:ser>
        <c:ser>
          <c:idx val="0"/>
          <c:order val="1"/>
          <c:tx>
            <c:strRef>
              <c:f>Front_5Hz!$N$12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Front_5Hz!$P$14:$P$64</c:f>
              <c:numCache>
                <c:formatCode>0.0</c:formatCode>
                <c:ptCount val="51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  <c:pt idx="6">
                  <c:v>7.1999999999999993</c:v>
                </c:pt>
                <c:pt idx="7">
                  <c:v>8.4</c:v>
                </c:pt>
                <c:pt idx="8">
                  <c:v>9.6</c:v>
                </c:pt>
                <c:pt idx="9">
                  <c:v>10.799999999999999</c:v>
                </c:pt>
                <c:pt idx="10">
                  <c:v>12</c:v>
                </c:pt>
                <c:pt idx="11">
                  <c:v>13.2</c:v>
                </c:pt>
                <c:pt idx="12">
                  <c:v>14.399999999999999</c:v>
                </c:pt>
                <c:pt idx="13">
                  <c:v>15.6</c:v>
                </c:pt>
                <c:pt idx="14">
                  <c:v>16.8</c:v>
                </c:pt>
                <c:pt idx="15">
                  <c:v>18</c:v>
                </c:pt>
                <c:pt idx="16">
                  <c:v>19.2</c:v>
                </c:pt>
                <c:pt idx="17">
                  <c:v>20.399999999999999</c:v>
                </c:pt>
                <c:pt idx="18">
                  <c:v>21.599999999999998</c:v>
                </c:pt>
                <c:pt idx="19">
                  <c:v>22.8</c:v>
                </c:pt>
                <c:pt idx="20">
                  <c:v>24</c:v>
                </c:pt>
              </c:numCache>
            </c:numRef>
          </c:xVal>
          <c:yVal>
            <c:numRef>
              <c:f>Front_5Hz!$Q$14:$Q$64</c:f>
              <c:numCache>
                <c:formatCode>0</c:formatCode>
                <c:ptCount val="51"/>
                <c:pt idx="0">
                  <c:v>0</c:v>
                </c:pt>
                <c:pt idx="1">
                  <c:v>5.1271040320151569</c:v>
                </c:pt>
                <c:pt idx="2">
                  <c:v>19.72558696040872</c:v>
                </c:pt>
                <c:pt idx="3">
                  <c:v>43.38357213338152</c:v>
                </c:pt>
                <c:pt idx="4">
                  <c:v>75.890557028489866</c:v>
                </c:pt>
                <c:pt idx="5">
                  <c:v>117.10258390676152</c:v>
                </c:pt>
                <c:pt idx="6">
                  <c:v>166.91029076580506</c:v>
                </c:pt>
                <c:pt idx="7">
                  <c:v>225.22561159972452</c:v>
                </c:pt>
                <c:pt idx="8">
                  <c:v>291.97491854889432</c:v>
                </c:pt>
                <c:pt idx="9">
                  <c:v>367.09501490504437</c:v>
                </c:pt>
                <c:pt idx="10">
                  <c:v>450.53058953311233</c:v>
                </c:pt>
                <c:pt idx="11">
                  <c:v>542.23249896124923</c:v>
                </c:pt>
                <c:pt idx="12">
                  <c:v>642.15655358839047</c:v>
                </c:pt>
                <c:pt idx="13">
                  <c:v>750.26262853522348</c:v>
                </c:pt>
                <c:pt idx="14">
                  <c:v>866.51399300268156</c:v>
                </c:pt>
                <c:pt idx="15">
                  <c:v>990.87679208404484</c:v>
                </c:pt>
                <c:pt idx="16">
                  <c:v>1123.3196381682949</c:v>
                </c:pt>
                <c:pt idx="17">
                  <c:v>1263.8132831348523</c:v>
                </c:pt>
                <c:pt idx="18">
                  <c:v>1412.3303514081249</c:v>
                </c:pt>
                <c:pt idx="19">
                  <c:v>1568.8451197230111</c:v>
                </c:pt>
                <c:pt idx="20">
                  <c:v>1733.3333333333335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C9-43E7-9270-7B67509287BC}"/>
            </c:ext>
          </c:extLst>
        </c:ser>
        <c:ser>
          <c:idx val="4"/>
          <c:order val="2"/>
          <c:tx>
            <c:strRef>
              <c:f>Front_5Hz!$B$12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Front_5Hz!$F$22:$F$25</c:f>
              <c:numCache>
                <c:formatCode>General</c:formatCode>
                <c:ptCount val="4"/>
                <c:pt idx="0">
                  <c:v>4</c:v>
                </c:pt>
                <c:pt idx="1">
                  <c:v>18</c:v>
                </c:pt>
                <c:pt idx="2" formatCode="0.0">
                  <c:v>37.800000000000004</c:v>
                </c:pt>
                <c:pt idx="3" formatCode="0.0">
                  <c:v>37.800000000000004</c:v>
                </c:pt>
              </c:numCache>
            </c:numRef>
          </c:xVal>
          <c:yVal>
            <c:numRef>
              <c:f>Front_5Hz!$G$22:$G$25</c:f>
              <c:numCache>
                <c:formatCode>0</c:formatCode>
                <c:ptCount val="4"/>
                <c:pt idx="0">
                  <c:v>0</c:v>
                </c:pt>
                <c:pt idx="1">
                  <c:v>854</c:v>
                </c:pt>
                <c:pt idx="2">
                  <c:v>3470.8</c:v>
                </c:pt>
                <c:pt idx="3">
                  <c:v>3470.8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C9-43E7-9270-7B67509287B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Front_5Hz!$AM$13:$AM$53</c:f>
              <c:numCache>
                <c:formatCode>0.0</c:formatCode>
                <c:ptCount val="41"/>
              </c:numCache>
            </c:numRef>
          </c:xVal>
          <c:yVal>
            <c:numRef>
              <c:f>Front_5Hz!$AN$13:$AN$53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C9-43E7-9270-7B67509287BC}"/>
            </c:ext>
          </c:extLst>
        </c:ser>
        <c:ser>
          <c:idx val="1"/>
          <c:order val="4"/>
          <c:tx>
            <c:strRef>
              <c:f>Front_5Hz!$B$28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Front_5Hz!$F$38:$F$41</c:f>
              <c:numCache>
                <c:formatCode>General</c:formatCode>
                <c:ptCount val="4"/>
              </c:numCache>
            </c:numRef>
          </c:xVal>
          <c:yVal>
            <c:numRef>
              <c:f>Front_5Hz!$G$38:$G$41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C9-43E7-9270-7B6750928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Front_5Hz!$S$13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Front_5Hz!$S$14:$S$63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</c:numCache>
            </c:numRef>
          </c:xVal>
          <c:yVal>
            <c:numRef>
              <c:f>Front_5Hz!$T$14:$T$64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61</c:v>
                </c:pt>
                <c:pt idx="6">
                  <c:v>122</c:v>
                </c:pt>
                <c:pt idx="7">
                  <c:v>183</c:v>
                </c:pt>
                <c:pt idx="8">
                  <c:v>244</c:v>
                </c:pt>
                <c:pt idx="9">
                  <c:v>305</c:v>
                </c:pt>
                <c:pt idx="10">
                  <c:v>366</c:v>
                </c:pt>
                <c:pt idx="11">
                  <c:v>427</c:v>
                </c:pt>
                <c:pt idx="12">
                  <c:v>488</c:v>
                </c:pt>
                <c:pt idx="13">
                  <c:v>549</c:v>
                </c:pt>
                <c:pt idx="14">
                  <c:v>610</c:v>
                </c:pt>
                <c:pt idx="15">
                  <c:v>671</c:v>
                </c:pt>
                <c:pt idx="16">
                  <c:v>780.15151515151501</c:v>
                </c:pt>
                <c:pt idx="17">
                  <c:v>903.57575757575705</c:v>
                </c:pt>
                <c:pt idx="18">
                  <c:v>1027</c:v>
                </c:pt>
                <c:pt idx="19">
                  <c:v>1150.42424242424</c:v>
                </c:pt>
                <c:pt idx="20">
                  <c:v>1273.84848484849</c:v>
                </c:pt>
                <c:pt idx="21">
                  <c:v>1397.27272727273</c:v>
                </c:pt>
                <c:pt idx="22">
                  <c:v>1520.69696969697</c:v>
                </c:pt>
                <c:pt idx="23">
                  <c:v>1644.12121212121</c:v>
                </c:pt>
                <c:pt idx="24">
                  <c:v>1767.54545454545</c:v>
                </c:pt>
                <c:pt idx="25">
                  <c:v>1890.9696969697</c:v>
                </c:pt>
                <c:pt idx="26">
                  <c:v>2014.3939393939399</c:v>
                </c:pt>
                <c:pt idx="27">
                  <c:v>2137.8181818181802</c:v>
                </c:pt>
                <c:pt idx="28">
                  <c:v>2261.2424242424199</c:v>
                </c:pt>
                <c:pt idx="29">
                  <c:v>2384.6666666666702</c:v>
                </c:pt>
                <c:pt idx="30">
                  <c:v>2508.0909090909099</c:v>
                </c:pt>
                <c:pt idx="31">
                  <c:v>2631.5151515151501</c:v>
                </c:pt>
                <c:pt idx="32">
                  <c:v>2754.9393939393899</c:v>
                </c:pt>
                <c:pt idx="33">
                  <c:v>2878.3636363636401</c:v>
                </c:pt>
                <c:pt idx="34">
                  <c:v>3001.7878787878799</c:v>
                </c:pt>
                <c:pt idx="35">
                  <c:v>3125.2121212121201</c:v>
                </c:pt>
                <c:pt idx="36">
                  <c:v>3248.6363636363599</c:v>
                </c:pt>
                <c:pt idx="37">
                  <c:v>3372.0606060606101</c:v>
                </c:pt>
                <c:pt idx="38">
                  <c:v>3507.1598947676098</c:v>
                </c:pt>
                <c:pt idx="39">
                  <c:v>3664.5059923998801</c:v>
                </c:pt>
                <c:pt idx="40">
                  <c:v>3821.85209003215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EA-478F-9390-773828242CDC}"/>
            </c:ext>
          </c:extLst>
        </c:ser>
        <c:ser>
          <c:idx val="0"/>
          <c:order val="1"/>
          <c:tx>
            <c:strRef>
              <c:f>Front_5Hz!$N$12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Front_5Hz!$P$14:$P$64</c:f>
              <c:numCache>
                <c:formatCode>0.0</c:formatCode>
                <c:ptCount val="51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  <c:pt idx="6">
                  <c:v>7.1999999999999993</c:v>
                </c:pt>
                <c:pt idx="7">
                  <c:v>8.4</c:v>
                </c:pt>
                <c:pt idx="8">
                  <c:v>9.6</c:v>
                </c:pt>
                <c:pt idx="9">
                  <c:v>10.799999999999999</c:v>
                </c:pt>
                <c:pt idx="10">
                  <c:v>12</c:v>
                </c:pt>
                <c:pt idx="11">
                  <c:v>13.2</c:v>
                </c:pt>
                <c:pt idx="12">
                  <c:v>14.399999999999999</c:v>
                </c:pt>
                <c:pt idx="13">
                  <c:v>15.6</c:v>
                </c:pt>
                <c:pt idx="14">
                  <c:v>16.8</c:v>
                </c:pt>
                <c:pt idx="15">
                  <c:v>18</c:v>
                </c:pt>
                <c:pt idx="16">
                  <c:v>19.2</c:v>
                </c:pt>
                <c:pt idx="17">
                  <c:v>20.399999999999999</c:v>
                </c:pt>
                <c:pt idx="18">
                  <c:v>21.599999999999998</c:v>
                </c:pt>
                <c:pt idx="19">
                  <c:v>22.8</c:v>
                </c:pt>
                <c:pt idx="20">
                  <c:v>24</c:v>
                </c:pt>
              </c:numCache>
            </c:numRef>
          </c:xVal>
          <c:yVal>
            <c:numRef>
              <c:f>Front_5Hz!$Q$14:$Q$64</c:f>
              <c:numCache>
                <c:formatCode>0</c:formatCode>
                <c:ptCount val="51"/>
                <c:pt idx="0">
                  <c:v>0</c:v>
                </c:pt>
                <c:pt idx="1">
                  <c:v>5.1271040320151569</c:v>
                </c:pt>
                <c:pt idx="2">
                  <c:v>19.72558696040872</c:v>
                </c:pt>
                <c:pt idx="3">
                  <c:v>43.38357213338152</c:v>
                </c:pt>
                <c:pt idx="4">
                  <c:v>75.890557028489866</c:v>
                </c:pt>
                <c:pt idx="5">
                  <c:v>117.10258390676152</c:v>
                </c:pt>
                <c:pt idx="6">
                  <c:v>166.91029076580506</c:v>
                </c:pt>
                <c:pt idx="7">
                  <c:v>225.22561159972452</c:v>
                </c:pt>
                <c:pt idx="8">
                  <c:v>291.97491854889432</c:v>
                </c:pt>
                <c:pt idx="9">
                  <c:v>367.09501490504437</c:v>
                </c:pt>
                <c:pt idx="10">
                  <c:v>450.53058953311233</c:v>
                </c:pt>
                <c:pt idx="11">
                  <c:v>542.23249896124923</c:v>
                </c:pt>
                <c:pt idx="12">
                  <c:v>642.15655358839047</c:v>
                </c:pt>
                <c:pt idx="13">
                  <c:v>750.26262853522348</c:v>
                </c:pt>
                <c:pt idx="14">
                  <c:v>866.51399300268156</c:v>
                </c:pt>
                <c:pt idx="15">
                  <c:v>990.87679208404484</c:v>
                </c:pt>
                <c:pt idx="16">
                  <c:v>1123.3196381682949</c:v>
                </c:pt>
                <c:pt idx="17">
                  <c:v>1263.8132831348523</c:v>
                </c:pt>
                <c:pt idx="18">
                  <c:v>1412.3303514081249</c:v>
                </c:pt>
                <c:pt idx="19">
                  <c:v>1568.8451197230111</c:v>
                </c:pt>
                <c:pt idx="20">
                  <c:v>1733.3333333333335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EA-478F-9390-773828242CDC}"/>
            </c:ext>
          </c:extLst>
        </c:ser>
        <c:ser>
          <c:idx val="1"/>
          <c:order val="2"/>
          <c:tx>
            <c:strRef>
              <c:f>Front_5Hz!$AK$11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Front_5Hz!$AK$13:$AK$63</c:f>
              <c:numCache>
                <c:formatCode>General</c:formatCode>
                <c:ptCount val="51"/>
              </c:numCache>
            </c:numRef>
          </c:xVal>
          <c:yVal>
            <c:numRef>
              <c:f>Front_5Hz!$AL$13:$AL$63</c:f>
              <c:numCache>
                <c:formatCode>0</c:formatCode>
                <c:ptCount val="5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EA-478F-9390-773828242CDC}"/>
            </c:ext>
          </c:extLst>
        </c:ser>
        <c:ser>
          <c:idx val="3"/>
          <c:order val="3"/>
          <c:tx>
            <c:strRef>
              <c:f>Front_5Hz!$AP$11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Front_5Hz!$AP$13:$AP$73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Front_5Hz!$AQ$13:$AQ$73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61</c:v>
                </c:pt>
                <c:pt idx="16">
                  <c:v>122</c:v>
                </c:pt>
                <c:pt idx="17">
                  <c:v>183</c:v>
                </c:pt>
                <c:pt idx="18">
                  <c:v>244</c:v>
                </c:pt>
                <c:pt idx="19">
                  <c:v>305</c:v>
                </c:pt>
                <c:pt idx="20">
                  <c:v>366</c:v>
                </c:pt>
                <c:pt idx="21">
                  <c:v>427</c:v>
                </c:pt>
                <c:pt idx="22">
                  <c:v>488</c:v>
                </c:pt>
                <c:pt idx="23">
                  <c:v>549</c:v>
                </c:pt>
                <c:pt idx="24">
                  <c:v>610</c:v>
                </c:pt>
                <c:pt idx="25">
                  <c:v>671</c:v>
                </c:pt>
                <c:pt idx="26">
                  <c:v>732</c:v>
                </c:pt>
                <c:pt idx="27">
                  <c:v>793</c:v>
                </c:pt>
                <c:pt idx="28">
                  <c:v>854</c:v>
                </c:pt>
                <c:pt idx="29">
                  <c:v>915</c:v>
                </c:pt>
                <c:pt idx="30">
                  <c:v>976</c:v>
                </c:pt>
                <c:pt idx="31">
                  <c:v>1037</c:v>
                </c:pt>
                <c:pt idx="32">
                  <c:v>1098</c:v>
                </c:pt>
                <c:pt idx="33">
                  <c:v>1159</c:v>
                </c:pt>
                <c:pt idx="34">
                  <c:v>1220</c:v>
                </c:pt>
                <c:pt idx="35">
                  <c:v>1281</c:v>
                </c:pt>
                <c:pt idx="36">
                  <c:v>1342</c:v>
                </c:pt>
                <c:pt idx="37">
                  <c:v>1403</c:v>
                </c:pt>
                <c:pt idx="38">
                  <c:v>1464</c:v>
                </c:pt>
                <c:pt idx="39">
                  <c:v>1525</c:v>
                </c:pt>
                <c:pt idx="40">
                  <c:v>1586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EA-478F-9390-773828242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Front_7Hz!$S$13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Front_7Hz!$S$14:$S$64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</c:numCache>
            </c:numRef>
          </c:xVal>
          <c:yVal>
            <c:numRef>
              <c:f>Front_7Hz!$T$14:$T$64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31.870357537024301</c:v>
                </c:pt>
                <c:pt idx="17">
                  <c:v>210.68814968814999</c:v>
                </c:pt>
                <c:pt idx="18">
                  <c:v>389.50594183927501</c:v>
                </c:pt>
                <c:pt idx="19">
                  <c:v>568.32373399040102</c:v>
                </c:pt>
                <c:pt idx="20">
                  <c:v>747.14152614152601</c:v>
                </c:pt>
                <c:pt idx="21">
                  <c:v>925.95931829265203</c:v>
                </c:pt>
                <c:pt idx="22">
                  <c:v>1104.77711044378</c:v>
                </c:pt>
                <c:pt idx="23">
                  <c:v>1305.84848484848</c:v>
                </c:pt>
                <c:pt idx="24">
                  <c:v>1818.27272727273</c:v>
                </c:pt>
                <c:pt idx="25">
                  <c:v>2330.69696969697</c:v>
                </c:pt>
                <c:pt idx="26">
                  <c:v>2843.1212121212102</c:v>
                </c:pt>
                <c:pt idx="27">
                  <c:v>3355.54545454545</c:v>
                </c:pt>
                <c:pt idx="28">
                  <c:v>3856.3195805750302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66-4A8F-9FD3-80191B4E6C23}"/>
            </c:ext>
          </c:extLst>
        </c:ser>
        <c:ser>
          <c:idx val="0"/>
          <c:order val="1"/>
          <c:tx>
            <c:strRef>
              <c:f>Front_7Hz!$N$12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Front_7Hz!$P$14:$P$64</c:f>
              <c:numCache>
                <c:formatCode>0.0</c:formatCode>
                <c:ptCount val="51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  <c:pt idx="6">
                  <c:v>7.1999999999999993</c:v>
                </c:pt>
                <c:pt idx="7">
                  <c:v>8.4</c:v>
                </c:pt>
                <c:pt idx="8">
                  <c:v>9.6</c:v>
                </c:pt>
                <c:pt idx="9">
                  <c:v>10.799999999999999</c:v>
                </c:pt>
                <c:pt idx="10">
                  <c:v>12</c:v>
                </c:pt>
                <c:pt idx="11">
                  <c:v>13.2</c:v>
                </c:pt>
                <c:pt idx="12">
                  <c:v>14.399999999999999</c:v>
                </c:pt>
                <c:pt idx="13">
                  <c:v>15.6</c:v>
                </c:pt>
                <c:pt idx="14">
                  <c:v>16.8</c:v>
                </c:pt>
                <c:pt idx="15">
                  <c:v>18</c:v>
                </c:pt>
                <c:pt idx="16">
                  <c:v>19.2</c:v>
                </c:pt>
                <c:pt idx="17">
                  <c:v>20.399999999999999</c:v>
                </c:pt>
                <c:pt idx="18">
                  <c:v>21.599999999999998</c:v>
                </c:pt>
                <c:pt idx="19">
                  <c:v>22.8</c:v>
                </c:pt>
                <c:pt idx="20">
                  <c:v>24</c:v>
                </c:pt>
              </c:numCache>
            </c:numRef>
          </c:xVal>
          <c:yVal>
            <c:numRef>
              <c:f>Front_7Hz!$Q$14:$Q$64</c:f>
              <c:numCache>
                <c:formatCode>0</c:formatCode>
                <c:ptCount val="51"/>
                <c:pt idx="0">
                  <c:v>0</c:v>
                </c:pt>
                <c:pt idx="1">
                  <c:v>2.8040048647676842E-5</c:v>
                </c:pt>
                <c:pt idx="2">
                  <c:v>1.7802062806539117E-3</c:v>
                </c:pt>
                <c:pt idx="3">
                  <c:v>2.0182608480722102E-2</c:v>
                </c:pt>
                <c:pt idx="4">
                  <c:v>0.11302171552909203</c:v>
                </c:pt>
                <c:pt idx="5">
                  <c:v>0.4300302004953736</c:v>
                </c:pt>
                <c:pt idx="6">
                  <c:v>1.2813532112162416</c:v>
                </c:pt>
                <c:pt idx="7">
                  <c:v>3.2253273844233084</c:v>
                </c:pt>
                <c:pt idx="8">
                  <c:v>7.1755213538775093</c:v>
                </c:pt>
                <c:pt idx="9">
                  <c:v>14.526996375944741</c:v>
                </c:pt>
                <c:pt idx="10">
                  <c:v>27.30175234043875</c:v>
                </c:pt>
                <c:pt idx="11">
                  <c:v>48.313329226714686</c:v>
                </c:pt>
                <c:pt idx="12">
                  <c:v>81.350537690033775</c:v>
                </c:pt>
                <c:pt idx="13">
                  <c:v>131.3802953034124</c:v>
                </c:pt>
                <c:pt idx="14">
                  <c:v>204.76954726650015</c:v>
                </c:pt>
                <c:pt idx="15">
                  <c:v>309.52625227359016</c:v>
                </c:pt>
                <c:pt idx="16">
                  <c:v>455.55941580712408</c:v>
                </c:pt>
                <c:pt idx="17">
                  <c:v>654.95815446032839</c:v>
                </c:pt>
                <c:pt idx="18">
                  <c:v>922.28977604273939</c:v>
                </c:pt>
                <c:pt idx="19">
                  <c:v>1274.9168612221292</c:v>
                </c:pt>
                <c:pt idx="20">
                  <c:v>1733.3333333333335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66-4A8F-9FD3-80191B4E6C23}"/>
            </c:ext>
          </c:extLst>
        </c:ser>
        <c:ser>
          <c:idx val="4"/>
          <c:order val="2"/>
          <c:tx>
            <c:strRef>
              <c:f>Front_7Hz!$B$12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Front_7Hz!$F$22:$F$25</c:f>
              <c:numCache>
                <c:formatCode>General</c:formatCode>
                <c:ptCount val="4"/>
                <c:pt idx="0">
                  <c:v>4</c:v>
                </c:pt>
                <c:pt idx="1">
                  <c:v>17</c:v>
                </c:pt>
                <c:pt idx="2" formatCode="0.0">
                  <c:v>23.256656656656656</c:v>
                </c:pt>
                <c:pt idx="3" formatCode="0.0">
                  <c:v>27.6</c:v>
                </c:pt>
              </c:numCache>
            </c:numRef>
          </c:xVal>
          <c:yVal>
            <c:numRef>
              <c:f>Front_7Hz!$G$22:$G$25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1252.4444444444443</c:v>
                </c:pt>
                <c:pt idx="3">
                  <c:v>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66-4A8F-9FD3-80191B4E6C23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Front_7Hz!$AM$13:$AM$53</c:f>
              <c:numCache>
                <c:formatCode>0.0</c:formatCode>
                <c:ptCount val="41"/>
              </c:numCache>
            </c:numRef>
          </c:xVal>
          <c:yVal>
            <c:numRef>
              <c:f>Front_7Hz!$AN$13:$AN$53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66-4A8F-9FD3-80191B4E6C23}"/>
            </c:ext>
          </c:extLst>
        </c:ser>
        <c:ser>
          <c:idx val="1"/>
          <c:order val="4"/>
          <c:tx>
            <c:strRef>
              <c:f>Front_7Hz!$B$28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Front_7Hz!$F$38:$F$41</c:f>
              <c:numCache>
                <c:formatCode>General</c:formatCode>
                <c:ptCount val="4"/>
              </c:numCache>
            </c:numRef>
          </c:xVal>
          <c:yVal>
            <c:numRef>
              <c:f>Front_7Hz!$G$38:$G$41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66-4A8F-9FD3-80191B4E6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Front_7Hz!$S$13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Front_7Hz!$S$14:$S$63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</c:numCache>
            </c:numRef>
          </c:xVal>
          <c:yVal>
            <c:numRef>
              <c:f>Front_7Hz!$T$14:$T$64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31.870357537024301</c:v>
                </c:pt>
                <c:pt idx="17">
                  <c:v>210.68814968814999</c:v>
                </c:pt>
                <c:pt idx="18">
                  <c:v>389.50594183927501</c:v>
                </c:pt>
                <c:pt idx="19">
                  <c:v>568.32373399040102</c:v>
                </c:pt>
                <c:pt idx="20">
                  <c:v>747.14152614152601</c:v>
                </c:pt>
                <c:pt idx="21">
                  <c:v>925.95931829265203</c:v>
                </c:pt>
                <c:pt idx="22">
                  <c:v>1104.77711044378</c:v>
                </c:pt>
                <c:pt idx="23">
                  <c:v>1305.84848484848</c:v>
                </c:pt>
                <c:pt idx="24">
                  <c:v>1818.27272727273</c:v>
                </c:pt>
                <c:pt idx="25">
                  <c:v>2330.69696969697</c:v>
                </c:pt>
                <c:pt idx="26">
                  <c:v>2843.1212121212102</c:v>
                </c:pt>
                <c:pt idx="27">
                  <c:v>3355.54545454545</c:v>
                </c:pt>
                <c:pt idx="28">
                  <c:v>3856.3195805750302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E8-469B-8F01-893D978A567F}"/>
            </c:ext>
          </c:extLst>
        </c:ser>
        <c:ser>
          <c:idx val="0"/>
          <c:order val="1"/>
          <c:tx>
            <c:strRef>
              <c:f>Front_7Hz!$N$12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Front_7Hz!$P$14:$P$64</c:f>
              <c:numCache>
                <c:formatCode>0.0</c:formatCode>
                <c:ptCount val="51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  <c:pt idx="6">
                  <c:v>7.1999999999999993</c:v>
                </c:pt>
                <c:pt idx="7">
                  <c:v>8.4</c:v>
                </c:pt>
                <c:pt idx="8">
                  <c:v>9.6</c:v>
                </c:pt>
                <c:pt idx="9">
                  <c:v>10.799999999999999</c:v>
                </c:pt>
                <c:pt idx="10">
                  <c:v>12</c:v>
                </c:pt>
                <c:pt idx="11">
                  <c:v>13.2</c:v>
                </c:pt>
                <c:pt idx="12">
                  <c:v>14.399999999999999</c:v>
                </c:pt>
                <c:pt idx="13">
                  <c:v>15.6</c:v>
                </c:pt>
                <c:pt idx="14">
                  <c:v>16.8</c:v>
                </c:pt>
                <c:pt idx="15">
                  <c:v>18</c:v>
                </c:pt>
                <c:pt idx="16">
                  <c:v>19.2</c:v>
                </c:pt>
                <c:pt idx="17">
                  <c:v>20.399999999999999</c:v>
                </c:pt>
                <c:pt idx="18">
                  <c:v>21.599999999999998</c:v>
                </c:pt>
                <c:pt idx="19">
                  <c:v>22.8</c:v>
                </c:pt>
                <c:pt idx="20">
                  <c:v>24</c:v>
                </c:pt>
              </c:numCache>
            </c:numRef>
          </c:xVal>
          <c:yVal>
            <c:numRef>
              <c:f>Front_7Hz!$Q$14:$Q$64</c:f>
              <c:numCache>
                <c:formatCode>0</c:formatCode>
                <c:ptCount val="51"/>
                <c:pt idx="0">
                  <c:v>0</c:v>
                </c:pt>
                <c:pt idx="1">
                  <c:v>2.8040048647676842E-5</c:v>
                </c:pt>
                <c:pt idx="2">
                  <c:v>1.7802062806539117E-3</c:v>
                </c:pt>
                <c:pt idx="3">
                  <c:v>2.0182608480722102E-2</c:v>
                </c:pt>
                <c:pt idx="4">
                  <c:v>0.11302171552909203</c:v>
                </c:pt>
                <c:pt idx="5">
                  <c:v>0.4300302004953736</c:v>
                </c:pt>
                <c:pt idx="6">
                  <c:v>1.2813532112162416</c:v>
                </c:pt>
                <c:pt idx="7">
                  <c:v>3.2253273844233084</c:v>
                </c:pt>
                <c:pt idx="8">
                  <c:v>7.1755213538775093</c:v>
                </c:pt>
                <c:pt idx="9">
                  <c:v>14.526996375944741</c:v>
                </c:pt>
                <c:pt idx="10">
                  <c:v>27.30175234043875</c:v>
                </c:pt>
                <c:pt idx="11">
                  <c:v>48.313329226714686</c:v>
                </c:pt>
                <c:pt idx="12">
                  <c:v>81.350537690033775</c:v>
                </c:pt>
                <c:pt idx="13">
                  <c:v>131.3802953034124</c:v>
                </c:pt>
                <c:pt idx="14">
                  <c:v>204.76954726650015</c:v>
                </c:pt>
                <c:pt idx="15">
                  <c:v>309.52625227359016</c:v>
                </c:pt>
                <c:pt idx="16">
                  <c:v>455.55941580712408</c:v>
                </c:pt>
                <c:pt idx="17">
                  <c:v>654.95815446032839</c:v>
                </c:pt>
                <c:pt idx="18">
                  <c:v>922.28977604273939</c:v>
                </c:pt>
                <c:pt idx="19">
                  <c:v>1274.9168612221292</c:v>
                </c:pt>
                <c:pt idx="20">
                  <c:v>1733.3333333333335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E8-469B-8F01-893D978A567F}"/>
            </c:ext>
          </c:extLst>
        </c:ser>
        <c:ser>
          <c:idx val="1"/>
          <c:order val="2"/>
          <c:tx>
            <c:strRef>
              <c:f>Front_7Hz!$AK$11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Front_7Hz!$AK$13:$AK$63</c:f>
              <c:numCache>
                <c:formatCode>General</c:formatCode>
                <c:ptCount val="51"/>
              </c:numCache>
            </c:numRef>
          </c:xVal>
          <c:yVal>
            <c:numRef>
              <c:f>Front_7Hz!$AL$13:$AL$63</c:f>
              <c:numCache>
                <c:formatCode>0</c:formatCode>
                <c:ptCount val="5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E8-469B-8F01-893D978A567F}"/>
            </c:ext>
          </c:extLst>
        </c:ser>
        <c:ser>
          <c:idx val="3"/>
          <c:order val="3"/>
          <c:tx>
            <c:strRef>
              <c:f>Front_7Hz!$AP$11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Front_7Hz!$AP$13:$AP$73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Front_7Hz!$AQ$13:$AQ$73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E8-469B-8F01-893D978A5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Front_9Hz!$S$13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Front_9Hz!$S$14:$S$64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</c:numCache>
            </c:numRef>
          </c:xVal>
          <c:yVal>
            <c:numRef>
              <c:f>Front_9Hz!$T$14:$T$64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129.64134629226299</c:v>
                </c:pt>
                <c:pt idx="20">
                  <c:v>335.468840212928</c:v>
                </c:pt>
                <c:pt idx="21">
                  <c:v>541.29633413359204</c:v>
                </c:pt>
                <c:pt idx="22">
                  <c:v>747.12382805425705</c:v>
                </c:pt>
                <c:pt idx="23">
                  <c:v>954.16910622789806</c:v>
                </c:pt>
                <c:pt idx="24">
                  <c:v>1642.49363867685</c:v>
                </c:pt>
                <c:pt idx="25">
                  <c:v>2463.7404580152702</c:v>
                </c:pt>
                <c:pt idx="26">
                  <c:v>3136.3929024081099</c:v>
                </c:pt>
                <c:pt idx="27">
                  <c:v>3784.0481622306702</c:v>
                </c:pt>
                <c:pt idx="28">
                  <c:v>4431.7034220532296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A6-41CB-838A-121F0C38AACB}"/>
            </c:ext>
          </c:extLst>
        </c:ser>
        <c:ser>
          <c:idx val="0"/>
          <c:order val="1"/>
          <c:tx>
            <c:strRef>
              <c:f>Front_9Hz!$N$12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Front_9Hz!$P$14:$P$64</c:f>
              <c:numCache>
                <c:formatCode>0.0</c:formatCode>
                <c:ptCount val="51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  <c:pt idx="6">
                  <c:v>7.1999999999999993</c:v>
                </c:pt>
                <c:pt idx="7">
                  <c:v>8.4</c:v>
                </c:pt>
                <c:pt idx="8">
                  <c:v>9.6</c:v>
                </c:pt>
                <c:pt idx="9">
                  <c:v>10.799999999999999</c:v>
                </c:pt>
                <c:pt idx="10">
                  <c:v>12</c:v>
                </c:pt>
                <c:pt idx="11">
                  <c:v>13.2</c:v>
                </c:pt>
                <c:pt idx="12">
                  <c:v>14.399999999999999</c:v>
                </c:pt>
                <c:pt idx="13">
                  <c:v>15.6</c:v>
                </c:pt>
                <c:pt idx="14">
                  <c:v>16.8</c:v>
                </c:pt>
                <c:pt idx="15">
                  <c:v>18</c:v>
                </c:pt>
                <c:pt idx="16">
                  <c:v>19.2</c:v>
                </c:pt>
                <c:pt idx="17">
                  <c:v>20.399999999999999</c:v>
                </c:pt>
                <c:pt idx="18">
                  <c:v>21.599999999999998</c:v>
                </c:pt>
                <c:pt idx="19">
                  <c:v>22.8</c:v>
                </c:pt>
                <c:pt idx="20">
                  <c:v>24</c:v>
                </c:pt>
              </c:numCache>
            </c:numRef>
          </c:xVal>
          <c:yVal>
            <c:numRef>
              <c:f>Front_9Hz!$Q$14:$Q$64</c:f>
              <c:numCache>
                <c:formatCode>0</c:formatCode>
                <c:ptCount val="51"/>
                <c:pt idx="0">
                  <c:v>0</c:v>
                </c:pt>
                <c:pt idx="1">
                  <c:v>2.7018066956731615E-12</c:v>
                </c:pt>
                <c:pt idx="2">
                  <c:v>7.2064966216868588E-9</c:v>
                </c:pt>
                <c:pt idx="3">
                  <c:v>7.2752280577406217E-7</c:v>
                </c:pt>
                <c:pt idx="4">
                  <c:v>1.9221802078421724E-5</c:v>
                </c:pt>
                <c:pt idx="5">
                  <c:v>2.4363644921153064E-4</c:v>
                </c:pt>
                <c:pt idx="6">
                  <c:v>1.9405128614149985E-3</c:v>
                </c:pt>
                <c:pt idx="7">
                  <c:v>1.1216271398442702E-2</c:v>
                </c:pt>
                <c:pt idx="8">
                  <c:v>5.1270082335171073E-2</c:v>
                </c:pt>
                <c:pt idx="9">
                  <c:v>0.19590203613345109</c:v>
                </c:pt>
                <c:pt idx="10">
                  <c:v>0.64984858131208101</c:v>
                </c:pt>
                <c:pt idx="11">
                  <c:v>1.9226881998944421</c:v>
                </c:pt>
                <c:pt idx="12">
                  <c:v>5.175906700698615</c:v>
                </c:pt>
                <c:pt idx="13">
                  <c:v>12.871212474944389</c:v>
                </c:pt>
                <c:pt idx="14">
                  <c:v>29.917026288463276</c:v>
                </c:pt>
                <c:pt idx="15">
                  <c:v>65.604646477138161</c:v>
                </c:pt>
                <c:pt idx="16">
                  <c:v>136.75207620653319</c:v>
                </c:pt>
                <c:pt idx="17">
                  <c:v>272.63884773235833</c:v>
                </c:pt>
                <c:pt idx="18">
                  <c:v>522.52715334453217</c:v>
                </c:pt>
                <c:pt idx="19">
                  <c:v>966.83179311935442</c:v>
                </c:pt>
                <c:pt idx="20">
                  <c:v>1733.3333333333335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A6-41CB-838A-121F0C38AACB}"/>
            </c:ext>
          </c:extLst>
        </c:ser>
        <c:ser>
          <c:idx val="4"/>
          <c:order val="2"/>
          <c:tx>
            <c:strRef>
              <c:f>Front_9Hz!$B$12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Front_9Hz!$F$22:$F$25</c:f>
              <c:numCache>
                <c:formatCode>General</c:formatCode>
                <c:ptCount val="4"/>
                <c:pt idx="0">
                  <c:v>4</c:v>
                </c:pt>
                <c:pt idx="1">
                  <c:v>19</c:v>
                </c:pt>
                <c:pt idx="2" formatCode="0.0">
                  <c:v>23.279247730220494</c:v>
                </c:pt>
                <c:pt idx="3" formatCode="0.0">
                  <c:v>28.360000000000003</c:v>
                </c:pt>
              </c:numCache>
            </c:numRef>
          </c:xVal>
          <c:yVal>
            <c:numRef>
              <c:f>Front_9Hz!$G$22:$G$25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939.33333333333326</c:v>
                </c:pt>
                <c:pt idx="3">
                  <c:v>4670.0571428571429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A6-41CB-838A-121F0C38AAC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Front_9Hz!$AM$13:$AM$53</c:f>
              <c:numCache>
                <c:formatCode>0.0</c:formatCode>
                <c:ptCount val="41"/>
              </c:numCache>
            </c:numRef>
          </c:xVal>
          <c:yVal>
            <c:numRef>
              <c:f>Front_9Hz!$AN$13:$AN$53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A6-41CB-838A-121F0C38AACB}"/>
            </c:ext>
          </c:extLst>
        </c:ser>
        <c:ser>
          <c:idx val="1"/>
          <c:order val="4"/>
          <c:tx>
            <c:strRef>
              <c:f>Front_9Hz!$B$28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Front_9Hz!$F$38:$F$41</c:f>
              <c:numCache>
                <c:formatCode>General</c:formatCode>
                <c:ptCount val="4"/>
              </c:numCache>
            </c:numRef>
          </c:xVal>
          <c:yVal>
            <c:numRef>
              <c:f>Front_9Hz!$G$38:$G$41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A6-41CB-838A-121F0C38A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Front_9Hz!$S$13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Front_9Hz!$S$14:$S$63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</c:numCache>
            </c:numRef>
          </c:xVal>
          <c:yVal>
            <c:numRef>
              <c:f>Front_9Hz!$T$14:$T$64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129.64134629226299</c:v>
                </c:pt>
                <c:pt idx="20">
                  <c:v>335.468840212928</c:v>
                </c:pt>
                <c:pt idx="21">
                  <c:v>541.29633413359204</c:v>
                </c:pt>
                <c:pt idx="22">
                  <c:v>747.12382805425705</c:v>
                </c:pt>
                <c:pt idx="23">
                  <c:v>954.16910622789806</c:v>
                </c:pt>
                <c:pt idx="24">
                  <c:v>1642.49363867685</c:v>
                </c:pt>
                <c:pt idx="25">
                  <c:v>2463.7404580152702</c:v>
                </c:pt>
                <c:pt idx="26">
                  <c:v>3136.3929024081099</c:v>
                </c:pt>
                <c:pt idx="27">
                  <c:v>3784.0481622306702</c:v>
                </c:pt>
                <c:pt idx="28">
                  <c:v>4431.7034220532296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3A-46F9-960C-04FDDE74ADBF}"/>
            </c:ext>
          </c:extLst>
        </c:ser>
        <c:ser>
          <c:idx val="0"/>
          <c:order val="1"/>
          <c:tx>
            <c:strRef>
              <c:f>Front_9Hz!$N$12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Front_9Hz!$P$14:$P$64</c:f>
              <c:numCache>
                <c:formatCode>0.0</c:formatCode>
                <c:ptCount val="51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  <c:pt idx="6">
                  <c:v>7.1999999999999993</c:v>
                </c:pt>
                <c:pt idx="7">
                  <c:v>8.4</c:v>
                </c:pt>
                <c:pt idx="8">
                  <c:v>9.6</c:v>
                </c:pt>
                <c:pt idx="9">
                  <c:v>10.799999999999999</c:v>
                </c:pt>
                <c:pt idx="10">
                  <c:v>12</c:v>
                </c:pt>
                <c:pt idx="11">
                  <c:v>13.2</c:v>
                </c:pt>
                <c:pt idx="12">
                  <c:v>14.399999999999999</c:v>
                </c:pt>
                <c:pt idx="13">
                  <c:v>15.6</c:v>
                </c:pt>
                <c:pt idx="14">
                  <c:v>16.8</c:v>
                </c:pt>
                <c:pt idx="15">
                  <c:v>18</c:v>
                </c:pt>
                <c:pt idx="16">
                  <c:v>19.2</c:v>
                </c:pt>
                <c:pt idx="17">
                  <c:v>20.399999999999999</c:v>
                </c:pt>
                <c:pt idx="18">
                  <c:v>21.599999999999998</c:v>
                </c:pt>
                <c:pt idx="19">
                  <c:v>22.8</c:v>
                </c:pt>
                <c:pt idx="20">
                  <c:v>24</c:v>
                </c:pt>
              </c:numCache>
            </c:numRef>
          </c:xVal>
          <c:yVal>
            <c:numRef>
              <c:f>Front_9Hz!$Q$14:$Q$64</c:f>
              <c:numCache>
                <c:formatCode>0</c:formatCode>
                <c:ptCount val="51"/>
                <c:pt idx="0">
                  <c:v>0</c:v>
                </c:pt>
                <c:pt idx="1">
                  <c:v>2.7018066956731615E-12</c:v>
                </c:pt>
                <c:pt idx="2">
                  <c:v>7.2064966216868588E-9</c:v>
                </c:pt>
                <c:pt idx="3">
                  <c:v>7.2752280577406217E-7</c:v>
                </c:pt>
                <c:pt idx="4">
                  <c:v>1.9221802078421724E-5</c:v>
                </c:pt>
                <c:pt idx="5">
                  <c:v>2.4363644921153064E-4</c:v>
                </c:pt>
                <c:pt idx="6">
                  <c:v>1.9405128614149985E-3</c:v>
                </c:pt>
                <c:pt idx="7">
                  <c:v>1.1216271398442702E-2</c:v>
                </c:pt>
                <c:pt idx="8">
                  <c:v>5.1270082335171073E-2</c:v>
                </c:pt>
                <c:pt idx="9">
                  <c:v>0.19590203613345109</c:v>
                </c:pt>
                <c:pt idx="10">
                  <c:v>0.64984858131208101</c:v>
                </c:pt>
                <c:pt idx="11">
                  <c:v>1.9226881998944421</c:v>
                </c:pt>
                <c:pt idx="12">
                  <c:v>5.175906700698615</c:v>
                </c:pt>
                <c:pt idx="13">
                  <c:v>12.871212474944389</c:v>
                </c:pt>
                <c:pt idx="14">
                  <c:v>29.917026288463276</c:v>
                </c:pt>
                <c:pt idx="15">
                  <c:v>65.604646477138161</c:v>
                </c:pt>
                <c:pt idx="16">
                  <c:v>136.75207620653319</c:v>
                </c:pt>
                <c:pt idx="17">
                  <c:v>272.63884773235833</c:v>
                </c:pt>
                <c:pt idx="18">
                  <c:v>522.52715334453217</c:v>
                </c:pt>
                <c:pt idx="19">
                  <c:v>966.83179311935442</c:v>
                </c:pt>
                <c:pt idx="20">
                  <c:v>1733.3333333333335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3A-46F9-960C-04FDDE74ADBF}"/>
            </c:ext>
          </c:extLst>
        </c:ser>
        <c:ser>
          <c:idx val="1"/>
          <c:order val="2"/>
          <c:tx>
            <c:strRef>
              <c:f>Front_9Hz!$AK$11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Front_9Hz!$AK$13:$AK$63</c:f>
              <c:numCache>
                <c:formatCode>General</c:formatCode>
                <c:ptCount val="51"/>
              </c:numCache>
            </c:numRef>
          </c:xVal>
          <c:yVal>
            <c:numRef>
              <c:f>Front_9Hz!$AL$13:$AL$63</c:f>
              <c:numCache>
                <c:formatCode>0</c:formatCode>
                <c:ptCount val="5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3A-46F9-960C-04FDDE74ADBF}"/>
            </c:ext>
          </c:extLst>
        </c:ser>
        <c:ser>
          <c:idx val="3"/>
          <c:order val="3"/>
          <c:tx>
            <c:strRef>
              <c:f>Front_9Hz!$AP$11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Front_9Hz!$AP$13:$AP$73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Front_9Hz!$AQ$13:$AQ$73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3A-46F9-960C-04FDDE74A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3368000852868361"/>
          <c:y val="0.16638904024670007"/>
          <c:w val="0.76942911124009428"/>
          <c:h val="0.76090541255532784"/>
        </c:manualLayout>
      </c:layout>
      <c:scatterChart>
        <c:scatterStyle val="smoothMarker"/>
        <c:varyColors val="0"/>
        <c:ser>
          <c:idx val="0"/>
          <c:order val="0"/>
          <c:tx>
            <c:v>Front_9Hz</c:v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Front_9Hz!$W$59:$W$69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Front_9Hz!$X$59:$X$69</c:f>
              <c:numCache>
                <c:formatCode>0</c:formatCode>
                <c:ptCount val="11"/>
                <c:pt idx="0">
                  <c:v>0</c:v>
                </c:pt>
                <c:pt idx="1">
                  <c:v>129.64134629226299</c:v>
                </c:pt>
                <c:pt idx="2">
                  <c:v>335.468840212928</c:v>
                </c:pt>
                <c:pt idx="3">
                  <c:v>541.29633413359204</c:v>
                </c:pt>
                <c:pt idx="4">
                  <c:v>747.12382805425705</c:v>
                </c:pt>
                <c:pt idx="5">
                  <c:v>954.16910622789806</c:v>
                </c:pt>
                <c:pt idx="6">
                  <c:v>1642.49363867685</c:v>
                </c:pt>
                <c:pt idx="7">
                  <c:v>2463.7404580152702</c:v>
                </c:pt>
                <c:pt idx="8">
                  <c:v>3136.3929024081099</c:v>
                </c:pt>
                <c:pt idx="9">
                  <c:v>3784.0481622306702</c:v>
                </c:pt>
                <c:pt idx="10">
                  <c:v>4431.7034220532296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94-40C9-A43E-A7BD1F0D2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812768"/>
        <c:axId val="35970784"/>
      </c:scatterChart>
      <c:valAx>
        <c:axId val="54681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5970784"/>
        <c:crosses val="autoZero"/>
        <c:crossBetween val="midCat"/>
      </c:valAx>
      <c:valAx>
        <c:axId val="3597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6812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3216764786012957"/>
          <c:y val="9.1337364715730285E-2"/>
          <c:w val="0.13969939351583135"/>
          <c:h val="5.8581642403351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Rear_4Hz!$S$13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Rear_4Hz!$S$14:$S$64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</c:numCache>
            </c:numRef>
          </c:xVal>
          <c:yVal>
            <c:numRef>
              <c:f>Rear_4Hz!$T$14:$T$64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61</c:v>
                </c:pt>
                <c:pt idx="6">
                  <c:v>122</c:v>
                </c:pt>
                <c:pt idx="7">
                  <c:v>183</c:v>
                </c:pt>
                <c:pt idx="8">
                  <c:v>244</c:v>
                </c:pt>
                <c:pt idx="9">
                  <c:v>305</c:v>
                </c:pt>
                <c:pt idx="10">
                  <c:v>366</c:v>
                </c:pt>
                <c:pt idx="11">
                  <c:v>427</c:v>
                </c:pt>
                <c:pt idx="12">
                  <c:v>488</c:v>
                </c:pt>
                <c:pt idx="13">
                  <c:v>549</c:v>
                </c:pt>
                <c:pt idx="14">
                  <c:v>610</c:v>
                </c:pt>
                <c:pt idx="15">
                  <c:v>671</c:v>
                </c:pt>
                <c:pt idx="16">
                  <c:v>732</c:v>
                </c:pt>
                <c:pt idx="17">
                  <c:v>828.37938155389304</c:v>
                </c:pt>
                <c:pt idx="18">
                  <c:v>982.80229034247895</c:v>
                </c:pt>
                <c:pt idx="19">
                  <c:v>1137.22519913106</c:v>
                </c:pt>
                <c:pt idx="20">
                  <c:v>1291.6481079196501</c:v>
                </c:pt>
                <c:pt idx="21">
                  <c:v>1446.07101670824</c:v>
                </c:pt>
                <c:pt idx="22">
                  <c:v>1600.4939254968201</c:v>
                </c:pt>
                <c:pt idx="23">
                  <c:v>1754.91683428541</c:v>
                </c:pt>
                <c:pt idx="24">
                  <c:v>1909.3397430739899</c:v>
                </c:pt>
                <c:pt idx="25">
                  <c:v>2063.7626518625798</c:v>
                </c:pt>
                <c:pt idx="26">
                  <c:v>2218.1855606511699</c:v>
                </c:pt>
                <c:pt idx="27">
                  <c:v>2372.60846943975</c:v>
                </c:pt>
                <c:pt idx="28">
                  <c:v>2527.0313782283401</c:v>
                </c:pt>
                <c:pt idx="29">
                  <c:v>2681.4542870169198</c:v>
                </c:pt>
                <c:pt idx="30">
                  <c:v>2835.8771958055099</c:v>
                </c:pt>
                <c:pt idx="31">
                  <c:v>2990.30010459409</c:v>
                </c:pt>
                <c:pt idx="32">
                  <c:v>3180.7522782722499</c:v>
                </c:pt>
                <c:pt idx="33">
                  <c:v>3443.79393939394</c:v>
                </c:pt>
                <c:pt idx="34">
                  <c:v>3709.7636363636402</c:v>
                </c:pt>
                <c:pt idx="35">
                  <c:v>3975.7333333333299</c:v>
                </c:pt>
                <c:pt idx="36">
                  <c:v>4241.7030303030297</c:v>
                </c:pt>
                <c:pt idx="37">
                  <c:v>4507.6727272727303</c:v>
                </c:pt>
                <c:pt idx="38">
                  <c:v>4773.64242424243</c:v>
                </c:pt>
                <c:pt idx="39">
                  <c:v>5039.6121212121197</c:v>
                </c:pt>
                <c:pt idx="40">
                  <c:v>5305.5818181818204</c:v>
                </c:pt>
                <c:pt idx="41">
                  <c:v>5571.5515151515201</c:v>
                </c:pt>
                <c:pt idx="42">
                  <c:v>5837.5212121212098</c:v>
                </c:pt>
                <c:pt idx="43">
                  <c:v>6098.0786046498197</c:v>
                </c:pt>
                <c:pt idx="44">
                  <c:v>6355.1371416858401</c:v>
                </c:pt>
                <c:pt idx="45">
                  <c:v>6612.1956787218596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B4-40D4-BC40-F0495481AC66}"/>
            </c:ext>
          </c:extLst>
        </c:ser>
        <c:ser>
          <c:idx val="0"/>
          <c:order val="1"/>
          <c:tx>
            <c:strRef>
              <c:f>Rear_4Hz!$N$12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Rear_4Hz!$P$14:$P$64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Rear_4Hz!$Q$14:$Q$64</c:f>
              <c:numCache>
                <c:formatCode>0</c:formatCode>
                <c:ptCount val="51"/>
                <c:pt idx="0">
                  <c:v>0</c:v>
                </c:pt>
                <c:pt idx="1">
                  <c:v>1.1159758317611208</c:v>
                </c:pt>
                <c:pt idx="2">
                  <c:v>5.1943835267981857</c:v>
                </c:pt>
                <c:pt idx="3">
                  <c:v>12.770806162587267</c:v>
                </c:pt>
                <c:pt idx="4">
                  <c:v>24.177602646548959</c:v>
                </c:pt>
                <c:pt idx="5">
                  <c:v>39.666357499651689</c:v>
                </c:pt>
                <c:pt idx="6">
                  <c:v>59.442564316281356</c:v>
                </c:pt>
                <c:pt idx="7">
                  <c:v>83.681376219640796</c:v>
                </c:pt>
                <c:pt idx="8">
                  <c:v>112.53625511451808</c:v>
                </c:pt>
                <c:pt idx="9">
                  <c:v>146.14428502900387</c:v>
                </c:pt>
                <c:pt idx="10">
                  <c:v>184.62969188062374</c:v>
                </c:pt>
                <c:pt idx="11">
                  <c:v>228.10630601713041</c:v>
                </c:pt>
                <c:pt idx="12">
                  <c:v>276.67935817917123</c:v>
                </c:pt>
                <c:pt idx="13">
                  <c:v>330.44683290851412</c:v>
                </c:pt>
                <c:pt idx="14">
                  <c:v>389.50051583925983</c:v>
                </c:pt>
                <c:pt idx="15">
                  <c:v>453.92682205717779</c:v>
                </c:pt>
                <c:pt idx="16">
                  <c:v>523.80746347519289</c:v>
                </c:pt>
                <c:pt idx="17">
                  <c:v>599.21999502678898</c:v>
                </c:pt>
                <c:pt idx="18">
                  <c:v>680.23826778790885</c:v>
                </c:pt>
                <c:pt idx="19">
                  <c:v>766.93280936228962</c:v>
                </c:pt>
                <c:pt idx="20">
                  <c:v>859.37114654990251</c:v>
                </c:pt>
                <c:pt idx="21">
                  <c:v>957.61808159688474</c:v>
                </c:pt>
                <c:pt idx="22">
                  <c:v>1061.7359306646658</c:v>
                </c:pt>
                <c:pt idx="23">
                  <c:v>1171.7847312177546</c:v>
                </c:pt>
                <c:pt idx="24">
                  <c:v>1287.8224235940404</c:v>
                </c:pt>
                <c:pt idx="25">
                  <c:v>1409.905010942002</c:v>
                </c:pt>
                <c:pt idx="26">
                  <c:v>1538.0867008865789</c:v>
                </c:pt>
                <c:pt idx="27">
                  <c:v>1672.4200316506649</c:v>
                </c:pt>
                <c:pt idx="28">
                  <c:v>1812.9559848639483</c:v>
                </c:pt>
                <c:pt idx="29">
                  <c:v>1959.7440869003303</c:v>
                </c:pt>
                <c:pt idx="30">
                  <c:v>2112.8325002744032</c:v>
                </c:pt>
                <c:pt idx="31">
                  <c:v>2272.2681063780533</c:v>
                </c:pt>
                <c:pt idx="32">
                  <c:v>2438.0965806362506</c:v>
                </c:pt>
                <c:pt idx="33">
                  <c:v>2610.3624609965073</c:v>
                </c:pt>
                <c:pt idx="34">
                  <c:v>2789.109210531275</c:v>
                </c:pt>
                <c:pt idx="35">
                  <c:v>2974.3792748207475</c:v>
                </c:pt>
                <c:pt idx="36">
                  <c:v>3166.2141346906774</c:v>
                </c:pt>
                <c:pt idx="37">
                  <c:v>3364.6543548020136</c:v>
                </c:pt>
                <c:pt idx="38">
                  <c:v>3569.7396285238433</c:v>
                </c:pt>
                <c:pt idx="39">
                  <c:v>3781.5088194659215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B4-40D4-BC40-F0495481AC66}"/>
            </c:ext>
          </c:extLst>
        </c:ser>
        <c:ser>
          <c:idx val="4"/>
          <c:order val="2"/>
          <c:tx>
            <c:strRef>
              <c:f>Rear_4Hz!$B$12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Rear_4Hz!$F$22:$F$25</c:f>
              <c:numCache>
                <c:formatCode>General</c:formatCode>
                <c:ptCount val="4"/>
                <c:pt idx="0">
                  <c:v>4</c:v>
                </c:pt>
                <c:pt idx="1">
                  <c:v>19</c:v>
                </c:pt>
                <c:pt idx="2" formatCode="0.0">
                  <c:v>32.546846846846847</c:v>
                </c:pt>
                <c:pt idx="3" formatCode="0.0">
                  <c:v>42.7</c:v>
                </c:pt>
              </c:numCache>
            </c:numRef>
          </c:xVal>
          <c:yVal>
            <c:numRef>
              <c:f>Rear_4Hz!$G$22:$G$25</c:f>
              <c:numCache>
                <c:formatCode>0</c:formatCode>
                <c:ptCount val="4"/>
                <c:pt idx="0">
                  <c:v>0</c:v>
                </c:pt>
                <c:pt idx="1">
                  <c:v>915</c:v>
                </c:pt>
                <c:pt idx="2">
                  <c:v>3150.3576576576579</c:v>
                </c:pt>
                <c:pt idx="3">
                  <c:v>6023.7000000000007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B4-40D4-BC40-F0495481AC6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Rear_4Hz!$AM$13:$AM$53</c:f>
              <c:numCache>
                <c:formatCode>0.0</c:formatCode>
                <c:ptCount val="41"/>
              </c:numCache>
            </c:numRef>
          </c:xVal>
          <c:yVal>
            <c:numRef>
              <c:f>Rear_4Hz!$AN$13:$AN$53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B4-40D4-BC40-F0495481AC66}"/>
            </c:ext>
          </c:extLst>
        </c:ser>
        <c:ser>
          <c:idx val="1"/>
          <c:order val="4"/>
          <c:tx>
            <c:strRef>
              <c:f>Rear_4Hz!$B$28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Rear_4Hz!$F$38:$F$41</c:f>
              <c:numCache>
                <c:formatCode>General</c:formatCode>
                <c:ptCount val="4"/>
              </c:numCache>
            </c:numRef>
          </c:xVal>
          <c:yVal>
            <c:numRef>
              <c:f>Rear_4Hz!$G$38:$G$41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B4-40D4-BC40-F0495481A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Rear_4Hz!$S$13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Rear_4Hz!$S$14:$S$63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</c:numCache>
            </c:numRef>
          </c:xVal>
          <c:yVal>
            <c:numRef>
              <c:f>Rear_4Hz!$T$14:$T$64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61</c:v>
                </c:pt>
                <c:pt idx="6">
                  <c:v>122</c:v>
                </c:pt>
                <c:pt idx="7">
                  <c:v>183</c:v>
                </c:pt>
                <c:pt idx="8">
                  <c:v>244</c:v>
                </c:pt>
                <c:pt idx="9">
                  <c:v>305</c:v>
                </c:pt>
                <c:pt idx="10">
                  <c:v>366</c:v>
                </c:pt>
                <c:pt idx="11">
                  <c:v>427</c:v>
                </c:pt>
                <c:pt idx="12">
                  <c:v>488</c:v>
                </c:pt>
                <c:pt idx="13">
                  <c:v>549</c:v>
                </c:pt>
                <c:pt idx="14">
                  <c:v>610</c:v>
                </c:pt>
                <c:pt idx="15">
                  <c:v>671</c:v>
                </c:pt>
                <c:pt idx="16">
                  <c:v>732</c:v>
                </c:pt>
                <c:pt idx="17">
                  <c:v>828.37938155389304</c:v>
                </c:pt>
                <c:pt idx="18">
                  <c:v>982.80229034247895</c:v>
                </c:pt>
                <c:pt idx="19">
                  <c:v>1137.22519913106</c:v>
                </c:pt>
                <c:pt idx="20">
                  <c:v>1291.6481079196501</c:v>
                </c:pt>
                <c:pt idx="21">
                  <c:v>1446.07101670824</c:v>
                </c:pt>
                <c:pt idx="22">
                  <c:v>1600.4939254968201</c:v>
                </c:pt>
                <c:pt idx="23">
                  <c:v>1754.91683428541</c:v>
                </c:pt>
                <c:pt idx="24">
                  <c:v>1909.3397430739899</c:v>
                </c:pt>
                <c:pt idx="25">
                  <c:v>2063.7626518625798</c:v>
                </c:pt>
                <c:pt idx="26">
                  <c:v>2218.1855606511699</c:v>
                </c:pt>
                <c:pt idx="27">
                  <c:v>2372.60846943975</c:v>
                </c:pt>
                <c:pt idx="28">
                  <c:v>2527.0313782283401</c:v>
                </c:pt>
                <c:pt idx="29">
                  <c:v>2681.4542870169198</c:v>
                </c:pt>
                <c:pt idx="30">
                  <c:v>2835.8771958055099</c:v>
                </c:pt>
                <c:pt idx="31">
                  <c:v>2990.30010459409</c:v>
                </c:pt>
                <c:pt idx="32">
                  <c:v>3180.7522782722499</c:v>
                </c:pt>
                <c:pt idx="33">
                  <c:v>3443.79393939394</c:v>
                </c:pt>
                <c:pt idx="34">
                  <c:v>3709.7636363636402</c:v>
                </c:pt>
                <c:pt idx="35">
                  <c:v>3975.7333333333299</c:v>
                </c:pt>
                <c:pt idx="36">
                  <c:v>4241.7030303030297</c:v>
                </c:pt>
                <c:pt idx="37">
                  <c:v>4507.6727272727303</c:v>
                </c:pt>
                <c:pt idx="38">
                  <c:v>4773.64242424243</c:v>
                </c:pt>
                <c:pt idx="39">
                  <c:v>5039.6121212121197</c:v>
                </c:pt>
                <c:pt idx="40">
                  <c:v>5305.5818181818204</c:v>
                </c:pt>
                <c:pt idx="41">
                  <c:v>5571.5515151515201</c:v>
                </c:pt>
                <c:pt idx="42">
                  <c:v>5837.5212121212098</c:v>
                </c:pt>
                <c:pt idx="43">
                  <c:v>6098.0786046498197</c:v>
                </c:pt>
                <c:pt idx="44">
                  <c:v>6355.1371416858401</c:v>
                </c:pt>
                <c:pt idx="45">
                  <c:v>6612.1956787218596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76-4ADA-BF9F-98DBE42CB584}"/>
            </c:ext>
          </c:extLst>
        </c:ser>
        <c:ser>
          <c:idx val="0"/>
          <c:order val="1"/>
          <c:tx>
            <c:strRef>
              <c:f>Rear_4Hz!$N$12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Rear_4Hz!$P$14:$P$64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Rear_4Hz!$Q$14:$Q$64</c:f>
              <c:numCache>
                <c:formatCode>0</c:formatCode>
                <c:ptCount val="51"/>
                <c:pt idx="0">
                  <c:v>0</c:v>
                </c:pt>
                <c:pt idx="1">
                  <c:v>1.1159758317611208</c:v>
                </c:pt>
                <c:pt idx="2">
                  <c:v>5.1943835267981857</c:v>
                </c:pt>
                <c:pt idx="3">
                  <c:v>12.770806162587267</c:v>
                </c:pt>
                <c:pt idx="4">
                  <c:v>24.177602646548959</c:v>
                </c:pt>
                <c:pt idx="5">
                  <c:v>39.666357499651689</c:v>
                </c:pt>
                <c:pt idx="6">
                  <c:v>59.442564316281356</c:v>
                </c:pt>
                <c:pt idx="7">
                  <c:v>83.681376219640796</c:v>
                </c:pt>
                <c:pt idx="8">
                  <c:v>112.53625511451808</c:v>
                </c:pt>
                <c:pt idx="9">
                  <c:v>146.14428502900387</c:v>
                </c:pt>
                <c:pt idx="10">
                  <c:v>184.62969188062374</c:v>
                </c:pt>
                <c:pt idx="11">
                  <c:v>228.10630601713041</c:v>
                </c:pt>
                <c:pt idx="12">
                  <c:v>276.67935817917123</c:v>
                </c:pt>
                <c:pt idx="13">
                  <c:v>330.44683290851412</c:v>
                </c:pt>
                <c:pt idx="14">
                  <c:v>389.50051583925983</c:v>
                </c:pt>
                <c:pt idx="15">
                  <c:v>453.92682205717779</c:v>
                </c:pt>
                <c:pt idx="16">
                  <c:v>523.80746347519289</c:v>
                </c:pt>
                <c:pt idx="17">
                  <c:v>599.21999502678898</c:v>
                </c:pt>
                <c:pt idx="18">
                  <c:v>680.23826778790885</c:v>
                </c:pt>
                <c:pt idx="19">
                  <c:v>766.93280936228962</c:v>
                </c:pt>
                <c:pt idx="20">
                  <c:v>859.37114654990251</c:v>
                </c:pt>
                <c:pt idx="21">
                  <c:v>957.61808159688474</c:v>
                </c:pt>
                <c:pt idx="22">
                  <c:v>1061.7359306646658</c:v>
                </c:pt>
                <c:pt idx="23">
                  <c:v>1171.7847312177546</c:v>
                </c:pt>
                <c:pt idx="24">
                  <c:v>1287.8224235940404</c:v>
                </c:pt>
                <c:pt idx="25">
                  <c:v>1409.905010942002</c:v>
                </c:pt>
                <c:pt idx="26">
                  <c:v>1538.0867008865789</c:v>
                </c:pt>
                <c:pt idx="27">
                  <c:v>1672.4200316506649</c:v>
                </c:pt>
                <c:pt idx="28">
                  <c:v>1812.9559848639483</c:v>
                </c:pt>
                <c:pt idx="29">
                  <c:v>1959.7440869003303</c:v>
                </c:pt>
                <c:pt idx="30">
                  <c:v>2112.8325002744032</c:v>
                </c:pt>
                <c:pt idx="31">
                  <c:v>2272.2681063780533</c:v>
                </c:pt>
                <c:pt idx="32">
                  <c:v>2438.0965806362506</c:v>
                </c:pt>
                <c:pt idx="33">
                  <c:v>2610.3624609965073</c:v>
                </c:pt>
                <c:pt idx="34">
                  <c:v>2789.109210531275</c:v>
                </c:pt>
                <c:pt idx="35">
                  <c:v>2974.3792748207475</c:v>
                </c:pt>
                <c:pt idx="36">
                  <c:v>3166.2141346906774</c:v>
                </c:pt>
                <c:pt idx="37">
                  <c:v>3364.6543548020136</c:v>
                </c:pt>
                <c:pt idx="38">
                  <c:v>3569.7396285238433</c:v>
                </c:pt>
                <c:pt idx="39">
                  <c:v>3781.5088194659215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76-4ADA-BF9F-98DBE42CB584}"/>
            </c:ext>
          </c:extLst>
        </c:ser>
        <c:ser>
          <c:idx val="1"/>
          <c:order val="2"/>
          <c:tx>
            <c:strRef>
              <c:f>Rear_4Hz!$AK$11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Rear_4Hz!$AK$13:$AK$63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Rear_4Hz!$AL$13:$AL$63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76-4ADA-BF9F-98DBE42CB584}"/>
            </c:ext>
          </c:extLst>
        </c:ser>
        <c:ser>
          <c:idx val="3"/>
          <c:order val="3"/>
          <c:tx>
            <c:strRef>
              <c:f>Rear_4Hz!$AP$11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Rear_4Hz!$AP$13:$AP$73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Rear_4Hz!$AQ$13:$AQ$73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61</c:v>
                </c:pt>
                <c:pt idx="16">
                  <c:v>122</c:v>
                </c:pt>
                <c:pt idx="17">
                  <c:v>183</c:v>
                </c:pt>
                <c:pt idx="18">
                  <c:v>244</c:v>
                </c:pt>
                <c:pt idx="19">
                  <c:v>305</c:v>
                </c:pt>
                <c:pt idx="20">
                  <c:v>366</c:v>
                </c:pt>
                <c:pt idx="21">
                  <c:v>427</c:v>
                </c:pt>
                <c:pt idx="22">
                  <c:v>488</c:v>
                </c:pt>
                <c:pt idx="23">
                  <c:v>549</c:v>
                </c:pt>
                <c:pt idx="24">
                  <c:v>610</c:v>
                </c:pt>
                <c:pt idx="25">
                  <c:v>671</c:v>
                </c:pt>
                <c:pt idx="26">
                  <c:v>732</c:v>
                </c:pt>
                <c:pt idx="27">
                  <c:v>793</c:v>
                </c:pt>
                <c:pt idx="28">
                  <c:v>854</c:v>
                </c:pt>
                <c:pt idx="29">
                  <c:v>915</c:v>
                </c:pt>
                <c:pt idx="30">
                  <c:v>976</c:v>
                </c:pt>
                <c:pt idx="31">
                  <c:v>1037</c:v>
                </c:pt>
                <c:pt idx="32">
                  <c:v>1098</c:v>
                </c:pt>
                <c:pt idx="33">
                  <c:v>1159</c:v>
                </c:pt>
                <c:pt idx="34">
                  <c:v>1220</c:v>
                </c:pt>
                <c:pt idx="35">
                  <c:v>1281</c:v>
                </c:pt>
                <c:pt idx="36">
                  <c:v>1342</c:v>
                </c:pt>
                <c:pt idx="37">
                  <c:v>1403</c:v>
                </c:pt>
                <c:pt idx="38">
                  <c:v>1464</c:v>
                </c:pt>
                <c:pt idx="39">
                  <c:v>1525</c:v>
                </c:pt>
                <c:pt idx="40">
                  <c:v>1586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76-4ADA-BF9F-98DBE42CB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Rear_6Hz!$S$13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Rear_6Hz!$S$14:$S$64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</c:numCache>
            </c:numRef>
          </c:xVal>
          <c:yVal>
            <c:numRef>
              <c:f>Rear_6Hz!$T$14:$T$64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123.611570825855</c:v>
                </c:pt>
                <c:pt idx="25">
                  <c:v>286.00685298710999</c:v>
                </c:pt>
                <c:pt idx="26">
                  <c:v>448.40213514836501</c:v>
                </c:pt>
                <c:pt idx="27">
                  <c:v>610.79741730961996</c:v>
                </c:pt>
                <c:pt idx="28">
                  <c:v>773.19269947087503</c:v>
                </c:pt>
                <c:pt idx="29">
                  <c:v>935.58798163212998</c:v>
                </c:pt>
                <c:pt idx="30">
                  <c:v>1097.98326379338</c:v>
                </c:pt>
                <c:pt idx="31">
                  <c:v>1260.37854595464</c:v>
                </c:pt>
                <c:pt idx="32">
                  <c:v>1464.2673995324401</c:v>
                </c:pt>
                <c:pt idx="33">
                  <c:v>2015.42148760331</c:v>
                </c:pt>
                <c:pt idx="34">
                  <c:v>2574.4297520661198</c:v>
                </c:pt>
                <c:pt idx="35">
                  <c:v>3133.4380165289299</c:v>
                </c:pt>
                <c:pt idx="36">
                  <c:v>3692.44628099174</c:v>
                </c:pt>
                <c:pt idx="37">
                  <c:v>4251.4545454545396</c:v>
                </c:pt>
                <c:pt idx="38">
                  <c:v>4810.4628099173597</c:v>
                </c:pt>
                <c:pt idx="39">
                  <c:v>5369.4710743801697</c:v>
                </c:pt>
                <c:pt idx="40">
                  <c:v>5928.4793388429798</c:v>
                </c:pt>
                <c:pt idx="41">
                  <c:v>6487.4876033057799</c:v>
                </c:pt>
                <c:pt idx="42">
                  <c:v>7046.4958677686</c:v>
                </c:pt>
                <c:pt idx="43">
                  <c:v>7580.04700416367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1D-4326-BE55-929C32154E1B}"/>
            </c:ext>
          </c:extLst>
        </c:ser>
        <c:ser>
          <c:idx val="0"/>
          <c:order val="1"/>
          <c:tx>
            <c:strRef>
              <c:f>Rear_6Hz!$N$12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Rear_6Hz!$P$14:$P$64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Rear_6Hz!$Q$14:$Q$64</c:f>
              <c:numCache>
                <c:formatCode>0</c:formatCode>
                <c:ptCount val="51"/>
                <c:pt idx="0">
                  <c:v>0</c:v>
                </c:pt>
                <c:pt idx="1">
                  <c:v>1.1079367622183858E-8</c:v>
                </c:pt>
                <c:pt idx="2">
                  <c:v>1.6451245031695347E-6</c:v>
                </c:pt>
                <c:pt idx="3">
                  <c:v>3.065860261465142E-5</c:v>
                </c:pt>
                <c:pt idx="4">
                  <c:v>2.4427699515176316E-4</c:v>
                </c:pt>
                <c:pt idx="5">
                  <c:v>1.2218238461436139E-3</c:v>
                </c:pt>
                <c:pt idx="6">
                  <c:v>4.5523553432157806E-3</c:v>
                </c:pt>
                <c:pt idx="7">
                  <c:v>1.3842106064512897E-2</c:v>
                </c:pt>
                <c:pt idx="8">
                  <c:v>3.6271571084991183E-2</c:v>
                </c:pt>
                <c:pt idx="9">
                  <c:v>8.483786677509278E-2</c:v>
                </c:pt>
                <c:pt idx="10">
                  <c:v>0.18142302127632678</c:v>
                </c:pt>
                <c:pt idx="11">
                  <c:v>0.3608332664286466</c:v>
                </c:pt>
                <c:pt idx="12">
                  <c:v>0.67595837394759606</c:v>
                </c:pt>
                <c:pt idx="13">
                  <c:v>1.2042036928391424</c:v>
                </c:pt>
                <c:pt idx="14">
                  <c:v>2.0553508682757444</c:v>
                </c:pt>
                <c:pt idx="15">
                  <c:v>3.3810063030148267</c:v>
                </c:pt>
                <c:pt idx="16">
                  <c:v>5.3857992978675711</c:v>
                </c:pt>
                <c:pt idx="17">
                  <c:v>8.3404945065392884</c:v>
                </c:pt>
                <c:pt idx="18">
                  <c:v>12.597185885310198</c:v>
                </c:pt>
                <c:pt idx="19">
                  <c:v>18.606741728108791</c:v>
                </c:pt>
                <c:pt idx="20">
                  <c:v>26.938672667845051</c:v>
                </c:pt>
                <c:pt idx="21">
                  <c:v>38.303596708176315</c:v>
                </c:pt>
                <c:pt idx="22">
                  <c:v>53.578477436915236</c:v>
                </c:pt>
                <c:pt idx="23">
                  <c:v>73.834813572216007</c:v>
                </c:pt>
                <c:pt idx="24">
                  <c:v>100.36995991334663</c:v>
                </c:pt>
                <c:pt idx="25">
                  <c:v>134.7417616160765</c:v>
                </c:pt>
                <c:pt idx="26">
                  <c:v>178.8066854944226</c:v>
                </c:pt>
                <c:pt idx="27">
                  <c:v>234.7616337709006</c:v>
                </c:pt>
                <c:pt idx="28">
                  <c:v>305.18962736112587</c:v>
                </c:pt>
                <c:pt idx="29">
                  <c:v>393.10954738968184</c:v>
                </c:pt>
                <c:pt idx="30">
                  <c:v>502.03012519625952</c:v>
                </c:pt>
                <c:pt idx="31">
                  <c:v>636.00837260744231</c:v>
                </c:pt>
                <c:pt idx="32">
                  <c:v>799.71264572307621</c:v>
                </c:pt>
                <c:pt idx="33">
                  <c:v>998.49053689960908</c:v>
                </c:pt>
                <c:pt idx="34">
                  <c:v>1238.441791008473</c:v>
                </c:pt>
                <c:pt idx="35">
                  <c:v>1526.496443407782</c:v>
                </c:pt>
                <c:pt idx="36">
                  <c:v>1870.4983783921382</c:v>
                </c:pt>
                <c:pt idx="37">
                  <c:v>2279.2945081802773</c:v>
                </c:pt>
                <c:pt idx="38">
                  <c:v>2762.8297737651174</c:v>
                </c:pt>
                <c:pt idx="39">
                  <c:v>3332.248170186976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1D-4326-BE55-929C32154E1B}"/>
            </c:ext>
          </c:extLst>
        </c:ser>
        <c:ser>
          <c:idx val="4"/>
          <c:order val="2"/>
          <c:tx>
            <c:strRef>
              <c:f>Rear_6Hz!$B$12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Rear_6Hz!$F$22:$F$25</c:f>
              <c:numCache>
                <c:formatCode>General</c:formatCode>
                <c:ptCount val="4"/>
                <c:pt idx="0">
                  <c:v>4</c:v>
                </c:pt>
                <c:pt idx="1">
                  <c:v>25</c:v>
                </c:pt>
                <c:pt idx="2" formatCode="0.0">
                  <c:v>32.727177177177175</c:v>
                </c:pt>
                <c:pt idx="3" formatCode="0.0">
                  <c:v>42.5</c:v>
                </c:pt>
              </c:numCache>
            </c:numRef>
          </c:xVal>
          <c:yVal>
            <c:numRef>
              <c:f>Rear_6Hz!$G$22:$G$25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1409</c:v>
                </c:pt>
                <c:pt idx="3">
                  <c:v>7326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1D-4326-BE55-929C32154E1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Rear_6Hz!$AP$13:$AP$53</c:f>
              <c:numCache>
                <c:formatCode>0.0</c:formatCode>
                <c:ptCount val="41"/>
              </c:numCache>
            </c:numRef>
          </c:xVal>
          <c:yVal>
            <c:numRef>
              <c:f>Rear_6Hz!$AQ$13:$AQ$53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1D-4326-BE55-929C32154E1B}"/>
            </c:ext>
          </c:extLst>
        </c:ser>
        <c:ser>
          <c:idx val="1"/>
          <c:order val="4"/>
          <c:tx>
            <c:strRef>
              <c:f>Rear_6Hz!$B$47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Rear_6Hz!$F$57:$F$60</c:f>
              <c:numCache>
                <c:formatCode>General</c:formatCode>
                <c:ptCount val="4"/>
              </c:numCache>
            </c:numRef>
          </c:xVal>
          <c:yVal>
            <c:numRef>
              <c:f>Rear_6Hz!$G$57:$G$60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1D-4326-BE55-929C32154E1B}"/>
            </c:ext>
          </c:extLst>
        </c:ser>
        <c:ser>
          <c:idx val="5"/>
          <c:order val="5"/>
          <c:tx>
            <c:v>Possible stack modification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Rear_6Hz!$F$39:$F$43</c:f>
              <c:numCache>
                <c:formatCode>General</c:formatCode>
                <c:ptCount val="5"/>
                <c:pt idx="0">
                  <c:v>4</c:v>
                </c:pt>
                <c:pt idx="1">
                  <c:v>25</c:v>
                </c:pt>
                <c:pt idx="2" formatCode="0.0">
                  <c:v>31.480685851926978</c:v>
                </c:pt>
                <c:pt idx="3" formatCode="0.0">
                  <c:v>33.424999999999997</c:v>
                </c:pt>
                <c:pt idx="4" formatCode="0.0">
                  <c:v>36.21794294294294</c:v>
                </c:pt>
              </c:numCache>
            </c:numRef>
          </c:xVal>
          <c:yVal>
            <c:numRef>
              <c:f>Rear_6Hz!$G$39:$G$43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1409</c:v>
                </c:pt>
                <c:pt idx="3">
                  <c:v>3944</c:v>
                </c:pt>
                <c:pt idx="4">
                  <c:v>7326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6D-48DB-88E9-145983392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Rear_6Hz!$S$13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Rear_6Hz!$S$14:$S$63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</c:numCache>
            </c:numRef>
          </c:xVal>
          <c:yVal>
            <c:numRef>
              <c:f>Rear_6Hz!$T$14:$T$64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123.611570825855</c:v>
                </c:pt>
                <c:pt idx="25">
                  <c:v>286.00685298710999</c:v>
                </c:pt>
                <c:pt idx="26">
                  <c:v>448.40213514836501</c:v>
                </c:pt>
                <c:pt idx="27">
                  <c:v>610.79741730961996</c:v>
                </c:pt>
                <c:pt idx="28">
                  <c:v>773.19269947087503</c:v>
                </c:pt>
                <c:pt idx="29">
                  <c:v>935.58798163212998</c:v>
                </c:pt>
                <c:pt idx="30">
                  <c:v>1097.98326379338</c:v>
                </c:pt>
                <c:pt idx="31">
                  <c:v>1260.37854595464</c:v>
                </c:pt>
                <c:pt idx="32">
                  <c:v>1464.2673995324401</c:v>
                </c:pt>
                <c:pt idx="33">
                  <c:v>2015.42148760331</c:v>
                </c:pt>
                <c:pt idx="34">
                  <c:v>2574.4297520661198</c:v>
                </c:pt>
                <c:pt idx="35">
                  <c:v>3133.4380165289299</c:v>
                </c:pt>
                <c:pt idx="36">
                  <c:v>3692.44628099174</c:v>
                </c:pt>
                <c:pt idx="37">
                  <c:v>4251.4545454545396</c:v>
                </c:pt>
                <c:pt idx="38">
                  <c:v>4810.4628099173597</c:v>
                </c:pt>
                <c:pt idx="39">
                  <c:v>5369.4710743801697</c:v>
                </c:pt>
                <c:pt idx="40">
                  <c:v>5928.4793388429798</c:v>
                </c:pt>
                <c:pt idx="41">
                  <c:v>6487.4876033057799</c:v>
                </c:pt>
                <c:pt idx="42">
                  <c:v>7046.4958677686</c:v>
                </c:pt>
                <c:pt idx="43">
                  <c:v>7580.04700416367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43-4D43-B20F-2D3604BE792D}"/>
            </c:ext>
          </c:extLst>
        </c:ser>
        <c:ser>
          <c:idx val="0"/>
          <c:order val="1"/>
          <c:tx>
            <c:strRef>
              <c:f>Rear_6Hz!$N$12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Rear_6Hz!$P$14:$P$64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Rear_6Hz!$Q$14:$Q$64</c:f>
              <c:numCache>
                <c:formatCode>0</c:formatCode>
                <c:ptCount val="51"/>
                <c:pt idx="0">
                  <c:v>0</c:v>
                </c:pt>
                <c:pt idx="1">
                  <c:v>1.1079367622183858E-8</c:v>
                </c:pt>
                <c:pt idx="2">
                  <c:v>1.6451245031695347E-6</c:v>
                </c:pt>
                <c:pt idx="3">
                  <c:v>3.065860261465142E-5</c:v>
                </c:pt>
                <c:pt idx="4">
                  <c:v>2.4427699515176316E-4</c:v>
                </c:pt>
                <c:pt idx="5">
                  <c:v>1.2218238461436139E-3</c:v>
                </c:pt>
                <c:pt idx="6">
                  <c:v>4.5523553432157806E-3</c:v>
                </c:pt>
                <c:pt idx="7">
                  <c:v>1.3842106064512897E-2</c:v>
                </c:pt>
                <c:pt idx="8">
                  <c:v>3.6271571084991183E-2</c:v>
                </c:pt>
                <c:pt idx="9">
                  <c:v>8.483786677509278E-2</c:v>
                </c:pt>
                <c:pt idx="10">
                  <c:v>0.18142302127632678</c:v>
                </c:pt>
                <c:pt idx="11">
                  <c:v>0.3608332664286466</c:v>
                </c:pt>
                <c:pt idx="12">
                  <c:v>0.67595837394759606</c:v>
                </c:pt>
                <c:pt idx="13">
                  <c:v>1.2042036928391424</c:v>
                </c:pt>
                <c:pt idx="14">
                  <c:v>2.0553508682757444</c:v>
                </c:pt>
                <c:pt idx="15">
                  <c:v>3.3810063030148267</c:v>
                </c:pt>
                <c:pt idx="16">
                  <c:v>5.3857992978675711</c:v>
                </c:pt>
                <c:pt idx="17">
                  <c:v>8.3404945065392884</c:v>
                </c:pt>
                <c:pt idx="18">
                  <c:v>12.597185885310198</c:v>
                </c:pt>
                <c:pt idx="19">
                  <c:v>18.606741728108791</c:v>
                </c:pt>
                <c:pt idx="20">
                  <c:v>26.938672667845051</c:v>
                </c:pt>
                <c:pt idx="21">
                  <c:v>38.303596708176315</c:v>
                </c:pt>
                <c:pt idx="22">
                  <c:v>53.578477436915236</c:v>
                </c:pt>
                <c:pt idx="23">
                  <c:v>73.834813572216007</c:v>
                </c:pt>
                <c:pt idx="24">
                  <c:v>100.36995991334663</c:v>
                </c:pt>
                <c:pt idx="25">
                  <c:v>134.7417616160765</c:v>
                </c:pt>
                <c:pt idx="26">
                  <c:v>178.8066854944226</c:v>
                </c:pt>
                <c:pt idx="27">
                  <c:v>234.7616337709006</c:v>
                </c:pt>
                <c:pt idx="28">
                  <c:v>305.18962736112587</c:v>
                </c:pt>
                <c:pt idx="29">
                  <c:v>393.10954738968184</c:v>
                </c:pt>
                <c:pt idx="30">
                  <c:v>502.03012519625952</c:v>
                </c:pt>
                <c:pt idx="31">
                  <c:v>636.00837260744231</c:v>
                </c:pt>
                <c:pt idx="32">
                  <c:v>799.71264572307621</c:v>
                </c:pt>
                <c:pt idx="33">
                  <c:v>998.49053689960908</c:v>
                </c:pt>
                <c:pt idx="34">
                  <c:v>1238.441791008473</c:v>
                </c:pt>
                <c:pt idx="35">
                  <c:v>1526.496443407782</c:v>
                </c:pt>
                <c:pt idx="36">
                  <c:v>1870.4983783921382</c:v>
                </c:pt>
                <c:pt idx="37">
                  <c:v>2279.2945081802773</c:v>
                </c:pt>
                <c:pt idx="38">
                  <c:v>2762.8297737651174</c:v>
                </c:pt>
                <c:pt idx="39">
                  <c:v>3332.248170186976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43-4D43-B20F-2D3604BE792D}"/>
            </c:ext>
          </c:extLst>
        </c:ser>
        <c:ser>
          <c:idx val="1"/>
          <c:order val="2"/>
          <c:tx>
            <c:strRef>
              <c:f>Rear_6Hz!$AN$11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Rear_6Hz!$AN$13:$AN$63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Rear_6Hz!$AO$13:$AO$63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43-4D43-B20F-2D3604BE792D}"/>
            </c:ext>
          </c:extLst>
        </c:ser>
        <c:ser>
          <c:idx val="3"/>
          <c:order val="3"/>
          <c:tx>
            <c:strRef>
              <c:f>Rear_6Hz!$AS$11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Rear_6Hz!$AS$13:$AS$73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Rear_6Hz!$AT$13:$AT$73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43-4D43-B20F-2D3604BE792D}"/>
            </c:ext>
          </c:extLst>
        </c:ser>
        <c:ser>
          <c:idx val="4"/>
          <c:order val="4"/>
          <c:tx>
            <c:v>Exp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Rear_6Hz!$W$14:$W$28</c:f>
              <c:numCache>
                <c:formatCode>General</c:formatCode>
                <c:ptCount val="15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  <c:pt idx="9">
                  <c:v>32</c:v>
                </c:pt>
                <c:pt idx="10">
                  <c:v>33</c:v>
                </c:pt>
                <c:pt idx="11">
                  <c:v>34</c:v>
                </c:pt>
                <c:pt idx="12">
                  <c:v>35</c:v>
                </c:pt>
                <c:pt idx="13">
                  <c:v>36</c:v>
                </c:pt>
                <c:pt idx="14">
                  <c:v>37</c:v>
                </c:pt>
              </c:numCache>
            </c:numRef>
          </c:xVal>
          <c:yVal>
            <c:numRef>
              <c:f>Rear_6Hz!$Z$14:$Z$28</c:f>
              <c:numCache>
                <c:formatCode>0</c:formatCode>
                <c:ptCount val="15"/>
                <c:pt idx="0" formatCode="General">
                  <c:v>0</c:v>
                </c:pt>
                <c:pt idx="1">
                  <c:v>44.145000000000003</c:v>
                </c:pt>
                <c:pt idx="2">
                  <c:v>176.58</c:v>
                </c:pt>
                <c:pt idx="3">
                  <c:v>361.98900000000003</c:v>
                </c:pt>
                <c:pt idx="4">
                  <c:v>565.05600000000004</c:v>
                </c:pt>
                <c:pt idx="5">
                  <c:v>772.53750000000002</c:v>
                </c:pt>
                <c:pt idx="6">
                  <c:v>971.19000000000017</c:v>
                </c:pt>
                <c:pt idx="7">
                  <c:v>1169.8425</c:v>
                </c:pt>
                <c:pt idx="8">
                  <c:v>1346.4225000000001</c:v>
                </c:pt>
                <c:pt idx="9">
                  <c:v>1536.2460000000001</c:v>
                </c:pt>
                <c:pt idx="10">
                  <c:v>1765.8</c:v>
                </c:pt>
                <c:pt idx="11">
                  <c:v>2273.4675000000002</c:v>
                </c:pt>
                <c:pt idx="12">
                  <c:v>2891.4974999999999</c:v>
                </c:pt>
                <c:pt idx="13">
                  <c:v>3522.7710000000002</c:v>
                </c:pt>
                <c:pt idx="14">
                  <c:v>4193.7750000000005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E2-4514-9F8E-35BAB5677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Rear_8Hz!$S$13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Rear_8Hz!$S$14:$S$64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</c:numCache>
            </c:numRef>
          </c:xVal>
          <c:yVal>
            <c:numRef>
              <c:f>Rear_8Hz!$T$14:$T$64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345.84615384615398</c:v>
                </c:pt>
                <c:pt idx="32">
                  <c:v>818.85314685314597</c:v>
                </c:pt>
                <c:pt idx="33">
                  <c:v>1291.86013986014</c:v>
                </c:pt>
                <c:pt idx="34">
                  <c:v>1764.8671328671301</c:v>
                </c:pt>
                <c:pt idx="35">
                  <c:v>2611.69696969696</c:v>
                </c:pt>
                <c:pt idx="36">
                  <c:v>4661.3939393939399</c:v>
                </c:pt>
                <c:pt idx="37">
                  <c:v>6711.0909090908999</c:v>
                </c:pt>
                <c:pt idx="38">
                  <c:v>8639.0629651558193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7F-470F-87B5-5FE80CF72337}"/>
            </c:ext>
          </c:extLst>
        </c:ser>
        <c:ser>
          <c:idx val="0"/>
          <c:order val="1"/>
          <c:tx>
            <c:strRef>
              <c:f>Rear_8Hz!$N$12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Rear_8Hz!$P$14:$P$64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Rear_8Hz!$Q$14:$Q$64</c:f>
              <c:numCache>
                <c:formatCode>0</c:formatCode>
                <c:ptCount val="51"/>
                <c:pt idx="0">
                  <c:v>0</c:v>
                </c:pt>
                <c:pt idx="1">
                  <c:v>6.92020929896164E-20</c:v>
                </c:pt>
                <c:pt idx="2">
                  <c:v>1.3095721565177507E-15</c:v>
                </c:pt>
                <c:pt idx="3">
                  <c:v>4.1592978033749493E-13</c:v>
                </c:pt>
                <c:pt idx="4">
                  <c:v>2.4782187344881033E-11</c:v>
                </c:pt>
                <c:pt idx="5">
                  <c:v>5.9024101164946822E-10</c:v>
                </c:pt>
                <c:pt idx="6">
                  <c:v>7.8710055702831973E-9</c:v>
                </c:pt>
                <c:pt idx="7">
                  <c:v>7.034040667552026E-8</c:v>
                </c:pt>
                <c:pt idx="8">
                  <c:v>4.6897515844401421E-7</c:v>
                </c:pt>
                <c:pt idx="9">
                  <c:v>2.4998894498401166E-6</c:v>
                </c:pt>
                <c:pt idx="10">
                  <c:v>1.1169650527867657E-5</c:v>
                </c:pt>
                <c:pt idx="11">
                  <c:v>4.3265682536456024E-5</c:v>
                </c:pt>
                <c:pt idx="12">
                  <c:v>1.4894997092336018E-4</c:v>
                </c:pt>
                <c:pt idx="13">
                  <c:v>4.6444860190710815E-4</c:v>
                </c:pt>
                <c:pt idx="14">
                  <c:v>1.331113468984506E-3</c:v>
                </c:pt>
                <c:pt idx="15">
                  <c:v>3.5475634293081425E-3</c:v>
                </c:pt>
                <c:pt idx="16">
                  <c:v>8.8748299807772327E-3</c:v>
                </c:pt>
                <c:pt idx="17">
                  <c:v>2.1000977335706824E-2</c:v>
                </c:pt>
                <c:pt idx="18">
                  <c:v>4.7307609877844554E-2</c:v>
                </c:pt>
                <c:pt idx="19">
                  <c:v>0.10198787580660594</c:v>
                </c:pt>
                <c:pt idx="20">
                  <c:v>0.21137313479122721</c:v>
                </c:pt>
                <c:pt idx="21">
                  <c:v>0.42277146013183503</c:v>
                </c:pt>
                <c:pt idx="22">
                  <c:v>0.81875461759488877</c:v>
                </c:pt>
                <c:pt idx="23">
                  <c:v>1.5397133304395738</c:v>
                </c:pt>
                <c:pt idx="24">
                  <c:v>2.8187114899058057</c:v>
                </c:pt>
                <c:pt idx="25">
                  <c:v>5.034305131280667</c:v>
                </c:pt>
                <c:pt idx="26">
                  <c:v>8.789169964590684</c:v>
                </c:pt>
                <c:pt idx="27">
                  <c:v>15.025245983470974</c:v>
                </c:pt>
                <c:pt idx="28">
                  <c:v>25.18983257355281</c:v>
                </c:pt>
                <c:pt idx="29">
                  <c:v>41.471859829783888</c:v>
                </c:pt>
                <c:pt idx="30">
                  <c:v>67.133667347310947</c:v>
                </c:pt>
                <c:pt idx="31">
                  <c:v>106.97133037381276</c:v>
                </c:pt>
                <c:pt idx="32">
                  <c:v>167.94622437790653</c:v>
                </c:pt>
                <c:pt idx="33">
                  <c:v>260.04250819754861</c:v>
                </c:pt>
                <c:pt idx="34">
                  <c:v>397.41999107785273</c:v>
                </c:pt>
                <c:pt idx="35">
                  <c:v>599.94995819308338</c:v>
                </c:pt>
                <c:pt idx="36">
                  <c:v>895.2435686695917</c:v>
                </c:pt>
                <c:pt idx="37">
                  <c:v>1321.309102049318</c:v>
                </c:pt>
                <c:pt idx="38">
                  <c:v>1930.0064013780966</c:v>
                </c:pt>
                <c:pt idx="39">
                  <c:v>2791.5052366734762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7F-470F-87B5-5FE80CF72337}"/>
            </c:ext>
          </c:extLst>
        </c:ser>
        <c:ser>
          <c:idx val="4"/>
          <c:order val="2"/>
          <c:tx>
            <c:strRef>
              <c:f>Rear_8Hz!$B$12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Rear_8Hz!$F$22:$F$25</c:f>
              <c:numCache>
                <c:formatCode>General</c:formatCode>
                <c:ptCount val="4"/>
                <c:pt idx="0">
                  <c:v>4</c:v>
                </c:pt>
                <c:pt idx="1">
                  <c:v>31</c:v>
                </c:pt>
                <c:pt idx="2" formatCode="0.0">
                  <c:v>34.9</c:v>
                </c:pt>
                <c:pt idx="3" formatCode="0.0">
                  <c:v>37.299999999999997</c:v>
                </c:pt>
              </c:numCache>
            </c:numRef>
          </c:xVal>
          <c:yVal>
            <c:numRef>
              <c:f>Rear_8Hz!$G$22:$G$25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1997.9999999999995</c:v>
                </c:pt>
                <c:pt idx="3">
                  <c:v>7326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7F-470F-87B5-5FE80CF7233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Rear_8Hz!$AM$13:$AM$53</c:f>
              <c:numCache>
                <c:formatCode>0.0</c:formatCode>
                <c:ptCount val="41"/>
              </c:numCache>
            </c:numRef>
          </c:xVal>
          <c:yVal>
            <c:numRef>
              <c:f>Rear_8Hz!$AN$13:$AN$53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7F-470F-87B5-5FE80CF72337}"/>
            </c:ext>
          </c:extLst>
        </c:ser>
        <c:ser>
          <c:idx val="1"/>
          <c:order val="4"/>
          <c:tx>
            <c:strRef>
              <c:f>Rear_8Hz!$B$28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Rear_8Hz!$F$38:$F$41</c:f>
              <c:numCache>
                <c:formatCode>General</c:formatCode>
                <c:ptCount val="4"/>
              </c:numCache>
            </c:numRef>
          </c:xVal>
          <c:yVal>
            <c:numRef>
              <c:f>Rear_8Hz!$G$38:$G$41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7F-470F-87B5-5FE80CF72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Rear_8Hz!$S$13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Rear_8Hz!$S$14:$S$63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</c:numCache>
            </c:numRef>
          </c:xVal>
          <c:yVal>
            <c:numRef>
              <c:f>Rear_8Hz!$T$14:$T$64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345.84615384615398</c:v>
                </c:pt>
                <c:pt idx="32">
                  <c:v>818.85314685314597</c:v>
                </c:pt>
                <c:pt idx="33">
                  <c:v>1291.86013986014</c:v>
                </c:pt>
                <c:pt idx="34">
                  <c:v>1764.8671328671301</c:v>
                </c:pt>
                <c:pt idx="35">
                  <c:v>2611.69696969696</c:v>
                </c:pt>
                <c:pt idx="36">
                  <c:v>4661.3939393939399</c:v>
                </c:pt>
                <c:pt idx="37">
                  <c:v>6711.0909090908999</c:v>
                </c:pt>
                <c:pt idx="38">
                  <c:v>8639.0629651558193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93-44AD-8AF8-BC8FB62F1ABC}"/>
            </c:ext>
          </c:extLst>
        </c:ser>
        <c:ser>
          <c:idx val="0"/>
          <c:order val="1"/>
          <c:tx>
            <c:strRef>
              <c:f>Rear_8Hz!$N$12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Rear_8Hz!$P$14:$P$64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Rear_8Hz!$Q$14:$Q$64</c:f>
              <c:numCache>
                <c:formatCode>0</c:formatCode>
                <c:ptCount val="51"/>
                <c:pt idx="0">
                  <c:v>0</c:v>
                </c:pt>
                <c:pt idx="1">
                  <c:v>6.92020929896164E-20</c:v>
                </c:pt>
                <c:pt idx="2">
                  <c:v>1.3095721565177507E-15</c:v>
                </c:pt>
                <c:pt idx="3">
                  <c:v>4.1592978033749493E-13</c:v>
                </c:pt>
                <c:pt idx="4">
                  <c:v>2.4782187344881033E-11</c:v>
                </c:pt>
                <c:pt idx="5">
                  <c:v>5.9024101164946822E-10</c:v>
                </c:pt>
                <c:pt idx="6">
                  <c:v>7.8710055702831973E-9</c:v>
                </c:pt>
                <c:pt idx="7">
                  <c:v>7.034040667552026E-8</c:v>
                </c:pt>
                <c:pt idx="8">
                  <c:v>4.6897515844401421E-7</c:v>
                </c:pt>
                <c:pt idx="9">
                  <c:v>2.4998894498401166E-6</c:v>
                </c:pt>
                <c:pt idx="10">
                  <c:v>1.1169650527867657E-5</c:v>
                </c:pt>
                <c:pt idx="11">
                  <c:v>4.3265682536456024E-5</c:v>
                </c:pt>
                <c:pt idx="12">
                  <c:v>1.4894997092336018E-4</c:v>
                </c:pt>
                <c:pt idx="13">
                  <c:v>4.6444860190710815E-4</c:v>
                </c:pt>
                <c:pt idx="14">
                  <c:v>1.331113468984506E-3</c:v>
                </c:pt>
                <c:pt idx="15">
                  <c:v>3.5475634293081425E-3</c:v>
                </c:pt>
                <c:pt idx="16">
                  <c:v>8.8748299807772327E-3</c:v>
                </c:pt>
                <c:pt idx="17">
                  <c:v>2.1000977335706824E-2</c:v>
                </c:pt>
                <c:pt idx="18">
                  <c:v>4.7307609877844554E-2</c:v>
                </c:pt>
                <c:pt idx="19">
                  <c:v>0.10198787580660594</c:v>
                </c:pt>
                <c:pt idx="20">
                  <c:v>0.21137313479122721</c:v>
                </c:pt>
                <c:pt idx="21">
                  <c:v>0.42277146013183503</c:v>
                </c:pt>
                <c:pt idx="22">
                  <c:v>0.81875461759488877</c:v>
                </c:pt>
                <c:pt idx="23">
                  <c:v>1.5397133304395738</c:v>
                </c:pt>
                <c:pt idx="24">
                  <c:v>2.8187114899058057</c:v>
                </c:pt>
                <c:pt idx="25">
                  <c:v>5.034305131280667</c:v>
                </c:pt>
                <c:pt idx="26">
                  <c:v>8.789169964590684</c:v>
                </c:pt>
                <c:pt idx="27">
                  <c:v>15.025245983470974</c:v>
                </c:pt>
                <c:pt idx="28">
                  <c:v>25.18983257355281</c:v>
                </c:pt>
                <c:pt idx="29">
                  <c:v>41.471859829783888</c:v>
                </c:pt>
                <c:pt idx="30">
                  <c:v>67.133667347310947</c:v>
                </c:pt>
                <c:pt idx="31">
                  <c:v>106.97133037381276</c:v>
                </c:pt>
                <c:pt idx="32">
                  <c:v>167.94622437790653</c:v>
                </c:pt>
                <c:pt idx="33">
                  <c:v>260.04250819754861</c:v>
                </c:pt>
                <c:pt idx="34">
                  <c:v>397.41999107785273</c:v>
                </c:pt>
                <c:pt idx="35">
                  <c:v>599.94995819308338</c:v>
                </c:pt>
                <c:pt idx="36">
                  <c:v>895.2435686695917</c:v>
                </c:pt>
                <c:pt idx="37">
                  <c:v>1321.309102049318</c:v>
                </c:pt>
                <c:pt idx="38">
                  <c:v>1930.0064013780966</c:v>
                </c:pt>
                <c:pt idx="39">
                  <c:v>2791.5052366734762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93-44AD-8AF8-BC8FB62F1ABC}"/>
            </c:ext>
          </c:extLst>
        </c:ser>
        <c:ser>
          <c:idx val="1"/>
          <c:order val="2"/>
          <c:tx>
            <c:strRef>
              <c:f>Rear_8Hz!$AK$11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Rear_8Hz!$AK$13:$AK$63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Rear_8Hz!$AL$13:$AL$63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93-44AD-8AF8-BC8FB62F1ABC}"/>
            </c:ext>
          </c:extLst>
        </c:ser>
        <c:ser>
          <c:idx val="3"/>
          <c:order val="3"/>
          <c:tx>
            <c:strRef>
              <c:f>Rear_8Hz!$AP$11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Rear_8Hz!$AP$13:$AP$73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Rear_8Hz!$AQ$13:$AQ$73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93-44AD-8AF8-BC8FB62F1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Template!$S$13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Template!$S$14:$S$64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</c:numCache>
            </c:numRef>
          </c:xVal>
          <c:yVal>
            <c:numRef>
              <c:f>Template!$T$14:$T$64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61</c:v>
                </c:pt>
                <c:pt idx="17">
                  <c:v>122</c:v>
                </c:pt>
                <c:pt idx="18">
                  <c:v>183</c:v>
                </c:pt>
                <c:pt idx="19">
                  <c:v>244</c:v>
                </c:pt>
                <c:pt idx="20">
                  <c:v>305</c:v>
                </c:pt>
                <c:pt idx="21">
                  <c:v>366</c:v>
                </c:pt>
                <c:pt idx="22">
                  <c:v>427</c:v>
                </c:pt>
                <c:pt idx="23">
                  <c:v>567.27226943657604</c:v>
                </c:pt>
                <c:pt idx="24">
                  <c:v>765.330028328612</c:v>
                </c:pt>
                <c:pt idx="25">
                  <c:v>963.38778722064797</c:v>
                </c:pt>
                <c:pt idx="26">
                  <c:v>1161.4455461126799</c:v>
                </c:pt>
                <c:pt idx="27">
                  <c:v>1359.50330500472</c:v>
                </c:pt>
                <c:pt idx="28">
                  <c:v>1557.5610638967601</c:v>
                </c:pt>
                <c:pt idx="29">
                  <c:v>1755.6484350804501</c:v>
                </c:pt>
                <c:pt idx="30">
                  <c:v>2015.87878787879</c:v>
                </c:pt>
                <c:pt idx="31">
                  <c:v>2418.4949494949501</c:v>
                </c:pt>
                <c:pt idx="32">
                  <c:v>2821.1111111111099</c:v>
                </c:pt>
                <c:pt idx="33">
                  <c:v>3223.7272727272698</c:v>
                </c:pt>
                <c:pt idx="34">
                  <c:v>3626.3434343434301</c:v>
                </c:pt>
                <c:pt idx="35">
                  <c:v>4028.9595959595999</c:v>
                </c:pt>
                <c:pt idx="36">
                  <c:v>4431.5757575757598</c:v>
                </c:pt>
                <c:pt idx="37">
                  <c:v>4834.1919191919196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32-493E-84C3-E12208C97170}"/>
            </c:ext>
          </c:extLst>
        </c:ser>
        <c:ser>
          <c:idx val="0"/>
          <c:order val="1"/>
          <c:tx>
            <c:strRef>
              <c:f>Template!$N$12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Template!$P$14:$P$64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Template!$Q$14:$Q$64</c:f>
              <c:numCache>
                <c:formatCode>0</c:formatCode>
                <c:ptCount val="51"/>
                <c:pt idx="0">
                  <c:v>0</c:v>
                </c:pt>
                <c:pt idx="1">
                  <c:v>1.072000672909028E-11</c:v>
                </c:pt>
                <c:pt idx="2">
                  <c:v>4.5864166953802105E-9</c:v>
                </c:pt>
                <c:pt idx="3">
                  <c:v>1.5873501336246389E-7</c:v>
                </c:pt>
                <c:pt idx="4">
                  <c:v>1.9622392630202596E-6</c:v>
                </c:pt>
                <c:pt idx="5">
                  <c:v>1.3798580782796429E-5</c:v>
                </c:pt>
                <c:pt idx="6">
                  <c:v>6.79127293317274E-5</c:v>
                </c:pt>
                <c:pt idx="7">
                  <c:v>2.6129287695203816E-4</c:v>
                </c:pt>
                <c:pt idx="8">
                  <c:v>8.3951877491129142E-4</c:v>
                </c:pt>
                <c:pt idx="9">
                  <c:v>2.350446702501262E-3</c:v>
                </c:pt>
                <c:pt idx="10">
                  <c:v>5.9035449206421061E-3</c:v>
                </c:pt>
                <c:pt idx="11">
                  <c:v>1.3580724252754195E-2</c:v>
                </c:pt>
                <c:pt idx="12">
                  <c:v>2.9055585831922758E-2</c:v>
                </c:pt>
                <c:pt idx="13">
                  <c:v>5.8490098153951155E-2</c:v>
                </c:pt>
                <c:pt idx="14">
                  <c:v>0.11179078927112338</c:v>
                </c:pt>
                <c:pt idx="15">
                  <c:v>0.20432057183289651</c:v>
                </c:pt>
                <c:pt idx="16">
                  <c:v>0.35917728623152112</c:v>
                </c:pt>
                <c:pt idx="17">
                  <c:v>0.61016593021383569</c:v>
                </c:pt>
                <c:pt idx="18">
                  <c:v>1.0056083237988738</c:v>
                </c:pt>
                <c:pt idx="19">
                  <c:v>1.6131516196537246</c:v>
                </c:pt>
                <c:pt idx="20">
                  <c:v>2.5257555960748599</c:v>
                </c:pt>
                <c:pt idx="21">
                  <c:v>3.8690580484382067</c:v>
                </c:pt>
                <c:pt idx="22">
                  <c:v>5.8103378124905918</c:v>
                </c:pt>
                <c:pt idx="23">
                  <c:v>8.5693159971334634</c:v>
                </c:pt>
                <c:pt idx="24">
                  <c:v>12.431057864167233</c:v>
                </c:pt>
                <c:pt idx="25">
                  <c:v>17.761260457297922</c:v>
                </c:pt>
                <c:pt idx="26">
                  <c:v>25.024234542665639</c:v>
                </c:pt>
                <c:pt idx="27">
                  <c:v>34.803913668901046</c:v>
                </c:pt>
                <c:pt idx="28">
                  <c:v>47.828248177444962</c:v>
                </c:pt>
                <c:pt idx="29">
                  <c:v>64.997367785206606</c:v>
                </c:pt>
                <c:pt idx="30">
                  <c:v>87.415922913655947</c:v>
                </c:pt>
                <c:pt idx="31">
                  <c:v>116.43004224360295</c:v>
                </c:pt>
                <c:pt idx="32">
                  <c:v>153.66937202598163</c:v>
                </c:pt>
                <c:pt idx="33">
                  <c:v>201.09469146907998</c:v>
                </c:pt>
                <c:pt idx="34">
                  <c:v>261.05162804523809</c:v>
                </c:pt>
                <c:pt idx="35">
                  <c:v>336.33102680878193</c:v>
                </c:pt>
                <c:pt idx="36">
                  <c:v>430.23655878580428</c:v>
                </c:pt>
                <c:pt idx="37">
                  <c:v>546.66018517954262</c:v>
                </c:pt>
                <c:pt idx="38">
                  <c:v>690.16612652698734</c:v>
                </c:pt>
                <c:pt idx="39">
                  <c:v>866.08401903746801</c:v>
                </c:pt>
                <c:pt idx="40">
                  <c:v>1080.6119741373373</c:v>
                </c:pt>
                <c:pt idx="41">
                  <c:v>1340.9302917311527</c:v>
                </c:pt>
                <c:pt idx="42">
                  <c:v>1655.3266128647297</c:v>
                </c:pt>
                <c:pt idx="43">
                  <c:v>2033.3333333333333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32-493E-84C3-E12208C97170}"/>
            </c:ext>
          </c:extLst>
        </c:ser>
        <c:ser>
          <c:idx val="4"/>
          <c:order val="2"/>
          <c:tx>
            <c:strRef>
              <c:f>Template!$B$12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Template!$F$22:$F$25</c:f>
              <c:numCache>
                <c:formatCode>General</c:formatCode>
                <c:ptCount val="4"/>
                <c:pt idx="0">
                  <c:v>26</c:v>
                </c:pt>
                <c:pt idx="1">
                  <c:v>33</c:v>
                </c:pt>
                <c:pt idx="2" formatCode="0.0">
                  <c:v>37.958495460440986</c:v>
                </c:pt>
                <c:pt idx="3" formatCode="0.0">
                  <c:v>41.76</c:v>
                </c:pt>
              </c:numCache>
            </c:numRef>
          </c:xVal>
          <c:yVal>
            <c:numRef>
              <c:f>Template!$G$22:$G$25</c:f>
              <c:numCache>
                <c:formatCode>0</c:formatCode>
                <c:ptCount val="4"/>
                <c:pt idx="0">
                  <c:v>0</c:v>
                </c:pt>
                <c:pt idx="1">
                  <c:v>427</c:v>
                </c:pt>
                <c:pt idx="2">
                  <c:v>1668.8015564202333</c:v>
                </c:pt>
                <c:pt idx="3">
                  <c:v>3296.3885714285716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32-493E-84C3-E12208C9717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Template!$AM$13:$AM$53</c:f>
              <c:numCache>
                <c:formatCode>0.0</c:formatCode>
                <c:ptCount val="41"/>
              </c:numCache>
            </c:numRef>
          </c:xVal>
          <c:yVal>
            <c:numRef>
              <c:f>Template!$AN$13:$AN$53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32-493E-84C3-E12208C97170}"/>
            </c:ext>
          </c:extLst>
        </c:ser>
        <c:ser>
          <c:idx val="1"/>
          <c:order val="4"/>
          <c:tx>
            <c:strRef>
              <c:f>Template!$B$28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Template!$F$38:$F$41</c:f>
              <c:numCache>
                <c:formatCode>General</c:formatCode>
                <c:ptCount val="4"/>
              </c:numCache>
            </c:numRef>
          </c:xVal>
          <c:yVal>
            <c:numRef>
              <c:f>Template!$G$38:$G$41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32-493E-84C3-E12208C97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Template!$S$13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Template!$S$14:$S$63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  <c:pt idx="44" formatCode="General">
                  <c:v>44</c:v>
                </c:pt>
                <c:pt idx="45" formatCode="General">
                  <c:v>45</c:v>
                </c:pt>
              </c:numCache>
            </c:numRef>
          </c:xVal>
          <c:yVal>
            <c:numRef>
              <c:f>Template!$T$14:$T$64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61</c:v>
                </c:pt>
                <c:pt idx="17">
                  <c:v>122</c:v>
                </c:pt>
                <c:pt idx="18">
                  <c:v>183</c:v>
                </c:pt>
                <c:pt idx="19">
                  <c:v>244</c:v>
                </c:pt>
                <c:pt idx="20">
                  <c:v>305</c:v>
                </c:pt>
                <c:pt idx="21">
                  <c:v>366</c:v>
                </c:pt>
                <c:pt idx="22">
                  <c:v>427</c:v>
                </c:pt>
                <c:pt idx="23">
                  <c:v>567.27226943657604</c:v>
                </c:pt>
                <c:pt idx="24">
                  <c:v>765.330028328612</c:v>
                </c:pt>
                <c:pt idx="25">
                  <c:v>963.38778722064797</c:v>
                </c:pt>
                <c:pt idx="26">
                  <c:v>1161.4455461126799</c:v>
                </c:pt>
                <c:pt idx="27">
                  <c:v>1359.50330500472</c:v>
                </c:pt>
                <c:pt idx="28">
                  <c:v>1557.5610638967601</c:v>
                </c:pt>
                <c:pt idx="29">
                  <c:v>1755.6484350804501</c:v>
                </c:pt>
                <c:pt idx="30">
                  <c:v>2015.87878787879</c:v>
                </c:pt>
                <c:pt idx="31">
                  <c:v>2418.4949494949501</c:v>
                </c:pt>
                <c:pt idx="32">
                  <c:v>2821.1111111111099</c:v>
                </c:pt>
                <c:pt idx="33">
                  <c:v>3223.7272727272698</c:v>
                </c:pt>
                <c:pt idx="34">
                  <c:v>3626.3434343434301</c:v>
                </c:pt>
                <c:pt idx="35">
                  <c:v>4028.9595959595999</c:v>
                </c:pt>
                <c:pt idx="36">
                  <c:v>4431.5757575757598</c:v>
                </c:pt>
                <c:pt idx="37">
                  <c:v>4834.1919191919196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C3-4ECF-88B5-02A4C2BB03BF}"/>
            </c:ext>
          </c:extLst>
        </c:ser>
        <c:ser>
          <c:idx val="0"/>
          <c:order val="1"/>
          <c:tx>
            <c:strRef>
              <c:f>Template!$N$12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Template!$P$14:$P$64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Template!$Q$14:$Q$64</c:f>
              <c:numCache>
                <c:formatCode>0</c:formatCode>
                <c:ptCount val="51"/>
                <c:pt idx="0">
                  <c:v>0</c:v>
                </c:pt>
                <c:pt idx="1">
                  <c:v>1.072000672909028E-11</c:v>
                </c:pt>
                <c:pt idx="2">
                  <c:v>4.5864166953802105E-9</c:v>
                </c:pt>
                <c:pt idx="3">
                  <c:v>1.5873501336246389E-7</c:v>
                </c:pt>
                <c:pt idx="4">
                  <c:v>1.9622392630202596E-6</c:v>
                </c:pt>
                <c:pt idx="5">
                  <c:v>1.3798580782796429E-5</c:v>
                </c:pt>
                <c:pt idx="6">
                  <c:v>6.79127293317274E-5</c:v>
                </c:pt>
                <c:pt idx="7">
                  <c:v>2.6129287695203816E-4</c:v>
                </c:pt>
                <c:pt idx="8">
                  <c:v>8.3951877491129142E-4</c:v>
                </c:pt>
                <c:pt idx="9">
                  <c:v>2.350446702501262E-3</c:v>
                </c:pt>
                <c:pt idx="10">
                  <c:v>5.9035449206421061E-3</c:v>
                </c:pt>
                <c:pt idx="11">
                  <c:v>1.3580724252754195E-2</c:v>
                </c:pt>
                <c:pt idx="12">
                  <c:v>2.9055585831922758E-2</c:v>
                </c:pt>
                <c:pt idx="13">
                  <c:v>5.8490098153951155E-2</c:v>
                </c:pt>
                <c:pt idx="14">
                  <c:v>0.11179078927112338</c:v>
                </c:pt>
                <c:pt idx="15">
                  <c:v>0.20432057183289651</c:v>
                </c:pt>
                <c:pt idx="16">
                  <c:v>0.35917728623152112</c:v>
                </c:pt>
                <c:pt idx="17">
                  <c:v>0.61016593021383569</c:v>
                </c:pt>
                <c:pt idx="18">
                  <c:v>1.0056083237988738</c:v>
                </c:pt>
                <c:pt idx="19">
                  <c:v>1.6131516196537246</c:v>
                </c:pt>
                <c:pt idx="20">
                  <c:v>2.5257555960748599</c:v>
                </c:pt>
                <c:pt idx="21">
                  <c:v>3.8690580484382067</c:v>
                </c:pt>
                <c:pt idx="22">
                  <c:v>5.8103378124905918</c:v>
                </c:pt>
                <c:pt idx="23">
                  <c:v>8.5693159971334634</c:v>
                </c:pt>
                <c:pt idx="24">
                  <c:v>12.431057864167233</c:v>
                </c:pt>
                <c:pt idx="25">
                  <c:v>17.761260457297922</c:v>
                </c:pt>
                <c:pt idx="26">
                  <c:v>25.024234542665639</c:v>
                </c:pt>
                <c:pt idx="27">
                  <c:v>34.803913668901046</c:v>
                </c:pt>
                <c:pt idx="28">
                  <c:v>47.828248177444962</c:v>
                </c:pt>
                <c:pt idx="29">
                  <c:v>64.997367785206606</c:v>
                </c:pt>
                <c:pt idx="30">
                  <c:v>87.415922913655947</c:v>
                </c:pt>
                <c:pt idx="31">
                  <c:v>116.43004224360295</c:v>
                </c:pt>
                <c:pt idx="32">
                  <c:v>153.66937202598163</c:v>
                </c:pt>
                <c:pt idx="33">
                  <c:v>201.09469146907998</c:v>
                </c:pt>
                <c:pt idx="34">
                  <c:v>261.05162804523809</c:v>
                </c:pt>
                <c:pt idx="35">
                  <c:v>336.33102680878193</c:v>
                </c:pt>
                <c:pt idx="36">
                  <c:v>430.23655878580428</c:v>
                </c:pt>
                <c:pt idx="37">
                  <c:v>546.66018517954262</c:v>
                </c:pt>
                <c:pt idx="38">
                  <c:v>690.16612652698734</c:v>
                </c:pt>
                <c:pt idx="39">
                  <c:v>866.08401903746801</c:v>
                </c:pt>
                <c:pt idx="40">
                  <c:v>1080.6119741373373</c:v>
                </c:pt>
                <c:pt idx="41">
                  <c:v>1340.9302917311527</c:v>
                </c:pt>
                <c:pt idx="42">
                  <c:v>1655.3266128647297</c:v>
                </c:pt>
                <c:pt idx="43">
                  <c:v>2033.3333333333333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C3-4ECF-88B5-02A4C2BB03BF}"/>
            </c:ext>
          </c:extLst>
        </c:ser>
        <c:ser>
          <c:idx val="1"/>
          <c:order val="2"/>
          <c:tx>
            <c:strRef>
              <c:f>Template!$AK$11</c:f>
              <c:strCache>
                <c:ptCount val="1"/>
                <c:pt idx="0">
                  <c:v>Bellevilles only (No Coil) @ Damper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Template!$AK$13:$AK$63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Template!$AL$13:$AL$63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C3-4ECF-88B5-02A4C2BB03BF}"/>
            </c:ext>
          </c:extLst>
        </c:ser>
        <c:ser>
          <c:idx val="3"/>
          <c:order val="3"/>
          <c:tx>
            <c:strRef>
              <c:f>Template!$AP$11</c:f>
              <c:strCache>
                <c:ptCount val="1"/>
                <c:pt idx="0">
                  <c:v>Linear spring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Template!$AP$13:$AP$73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</c:numCache>
            </c:numRef>
          </c:xVal>
          <c:yVal>
            <c:numRef>
              <c:f>Template!$AQ$13:$AQ$73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61</c:v>
                </c:pt>
                <c:pt idx="38">
                  <c:v>122</c:v>
                </c:pt>
                <c:pt idx="39">
                  <c:v>183</c:v>
                </c:pt>
                <c:pt idx="40">
                  <c:v>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C3-4ECF-88B5-02A4C2BB0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'Rear_6Hz (2)'!$S$13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'Rear_6Hz (2)'!$S$14:$S$64</c:f>
              <c:numCache>
                <c:formatCode>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</c:numCache>
            </c:numRef>
          </c:xVal>
          <c:yVal>
            <c:numRef>
              <c:f>'Rear_6Hz (2)'!$T$14:$T$64</c:f>
              <c:numCache>
                <c:formatCode>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123.611570825855</c:v>
                </c:pt>
                <c:pt idx="25">
                  <c:v>286.00685298710999</c:v>
                </c:pt>
                <c:pt idx="26">
                  <c:v>448.40213514836501</c:v>
                </c:pt>
                <c:pt idx="27">
                  <c:v>610.79741730961996</c:v>
                </c:pt>
                <c:pt idx="28">
                  <c:v>773.19269947087503</c:v>
                </c:pt>
                <c:pt idx="29">
                  <c:v>935.58798163212998</c:v>
                </c:pt>
                <c:pt idx="30">
                  <c:v>1097.98326379338</c:v>
                </c:pt>
                <c:pt idx="31">
                  <c:v>1260.37854595464</c:v>
                </c:pt>
                <c:pt idx="32">
                  <c:v>1464.2673995324401</c:v>
                </c:pt>
                <c:pt idx="33">
                  <c:v>2015.42148760331</c:v>
                </c:pt>
                <c:pt idx="34">
                  <c:v>2574.4297520661198</c:v>
                </c:pt>
                <c:pt idx="35">
                  <c:v>3133.4380165289299</c:v>
                </c:pt>
                <c:pt idx="36">
                  <c:v>3692.44628099174</c:v>
                </c:pt>
                <c:pt idx="37">
                  <c:v>4251.4545454545396</c:v>
                </c:pt>
                <c:pt idx="38">
                  <c:v>4810.4628099173597</c:v>
                </c:pt>
                <c:pt idx="39">
                  <c:v>5369.4710743801697</c:v>
                </c:pt>
                <c:pt idx="40">
                  <c:v>5928.4793388429798</c:v>
                </c:pt>
                <c:pt idx="41">
                  <c:v>6487.4876033057799</c:v>
                </c:pt>
                <c:pt idx="42">
                  <c:v>7046.4958677686</c:v>
                </c:pt>
                <c:pt idx="43">
                  <c:v>7580.04700416367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90-4CD9-9B26-153073C1AE56}"/>
            </c:ext>
          </c:extLst>
        </c:ser>
        <c:ser>
          <c:idx val="0"/>
          <c:order val="1"/>
          <c:tx>
            <c:strRef>
              <c:f>'Rear_6Hz (2)'!$N$12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'Rear_6Hz (2)'!$P$14:$P$64</c:f>
              <c:numCache>
                <c:formatCode>0.0</c:formatCode>
                <c:ptCount val="5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  <c:pt idx="41">
                  <c:v>36.9</c:v>
                </c:pt>
                <c:pt idx="42">
                  <c:v>37.800000000000004</c:v>
                </c:pt>
                <c:pt idx="43">
                  <c:v>38.700000000000003</c:v>
                </c:pt>
                <c:pt idx="44">
                  <c:v>39.6</c:v>
                </c:pt>
                <c:pt idx="45">
                  <c:v>40.5</c:v>
                </c:pt>
                <c:pt idx="46">
                  <c:v>41.4</c:v>
                </c:pt>
                <c:pt idx="47">
                  <c:v>42.300000000000004</c:v>
                </c:pt>
                <c:pt idx="48">
                  <c:v>43.2</c:v>
                </c:pt>
                <c:pt idx="49">
                  <c:v>44.1</c:v>
                </c:pt>
                <c:pt idx="50">
                  <c:v>45</c:v>
                </c:pt>
              </c:numCache>
            </c:numRef>
          </c:xVal>
          <c:yVal>
            <c:numRef>
              <c:f>'Rear_6Hz (2)'!$Q$14:$Q$64</c:f>
              <c:numCache>
                <c:formatCode>0</c:formatCode>
                <c:ptCount val="51"/>
                <c:pt idx="0">
                  <c:v>0</c:v>
                </c:pt>
                <c:pt idx="1">
                  <c:v>1.1079367622183858E-8</c:v>
                </c:pt>
                <c:pt idx="2">
                  <c:v>1.6451245031695347E-6</c:v>
                </c:pt>
                <c:pt idx="3">
                  <c:v>3.065860261465142E-5</c:v>
                </c:pt>
                <c:pt idx="4">
                  <c:v>2.4427699515176316E-4</c:v>
                </c:pt>
                <c:pt idx="5">
                  <c:v>1.2218238461436139E-3</c:v>
                </c:pt>
                <c:pt idx="6">
                  <c:v>4.5523553432157806E-3</c:v>
                </c:pt>
                <c:pt idx="7">
                  <c:v>1.3842106064512897E-2</c:v>
                </c:pt>
                <c:pt idx="8">
                  <c:v>3.6271571084991183E-2</c:v>
                </c:pt>
                <c:pt idx="9">
                  <c:v>8.483786677509278E-2</c:v>
                </c:pt>
                <c:pt idx="10">
                  <c:v>0.18142302127632678</c:v>
                </c:pt>
                <c:pt idx="11">
                  <c:v>0.3608332664286466</c:v>
                </c:pt>
                <c:pt idx="12">
                  <c:v>0.67595837394759606</c:v>
                </c:pt>
                <c:pt idx="13">
                  <c:v>1.2042036928391424</c:v>
                </c:pt>
                <c:pt idx="14">
                  <c:v>2.0553508682757444</c:v>
                </c:pt>
                <c:pt idx="15">
                  <c:v>3.3810063030148267</c:v>
                </c:pt>
                <c:pt idx="16">
                  <c:v>5.3857992978675711</c:v>
                </c:pt>
                <c:pt idx="17">
                  <c:v>8.3404945065392884</c:v>
                </c:pt>
                <c:pt idx="18">
                  <c:v>12.597185885310198</c:v>
                </c:pt>
                <c:pt idx="19">
                  <c:v>18.606741728108791</c:v>
                </c:pt>
                <c:pt idx="20">
                  <c:v>26.938672667845051</c:v>
                </c:pt>
                <c:pt idx="21">
                  <c:v>38.303596708176315</c:v>
                </c:pt>
                <c:pt idx="22">
                  <c:v>53.578477436915236</c:v>
                </c:pt>
                <c:pt idx="23">
                  <c:v>73.834813572216007</c:v>
                </c:pt>
                <c:pt idx="24">
                  <c:v>100.36995991334663</c:v>
                </c:pt>
                <c:pt idx="25">
                  <c:v>134.7417616160765</c:v>
                </c:pt>
                <c:pt idx="26">
                  <c:v>178.8066854944226</c:v>
                </c:pt>
                <c:pt idx="27">
                  <c:v>234.7616337709006</c:v>
                </c:pt>
                <c:pt idx="28">
                  <c:v>305.18962736112587</c:v>
                </c:pt>
                <c:pt idx="29">
                  <c:v>393.10954738968184</c:v>
                </c:pt>
                <c:pt idx="30">
                  <c:v>502.03012519625952</c:v>
                </c:pt>
                <c:pt idx="31">
                  <c:v>636.00837260744231</c:v>
                </c:pt>
                <c:pt idx="32">
                  <c:v>799.71264572307621</c:v>
                </c:pt>
                <c:pt idx="33">
                  <c:v>998.49053689960908</c:v>
                </c:pt>
                <c:pt idx="34">
                  <c:v>1238.441791008473</c:v>
                </c:pt>
                <c:pt idx="35">
                  <c:v>1526.496443407782</c:v>
                </c:pt>
                <c:pt idx="36">
                  <c:v>1870.4983783921382</c:v>
                </c:pt>
                <c:pt idx="37">
                  <c:v>2279.2945081802773</c:v>
                </c:pt>
                <c:pt idx="38">
                  <c:v>2762.8297737651174</c:v>
                </c:pt>
                <c:pt idx="39">
                  <c:v>3332.248170186976</c:v>
                </c:pt>
                <c:pt idx="40">
                  <c:v>4000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90-4CD9-9B26-153073C1AE56}"/>
            </c:ext>
          </c:extLst>
        </c:ser>
        <c:ser>
          <c:idx val="4"/>
          <c:order val="2"/>
          <c:tx>
            <c:strRef>
              <c:f>'Rear_6Hz (2)'!$B$12</c:f>
              <c:strCache>
                <c:ptCount val="1"/>
                <c:pt idx="0">
                  <c:v>Linear coil + bellevilles stack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'Rear_6Hz (2)'!$F$22:$F$25</c:f>
              <c:numCache>
                <c:formatCode>General</c:formatCode>
                <c:ptCount val="4"/>
                <c:pt idx="0">
                  <c:v>4</c:v>
                </c:pt>
                <c:pt idx="1">
                  <c:v>25</c:v>
                </c:pt>
                <c:pt idx="2" formatCode="0.0">
                  <c:v>32.727177177177175</c:v>
                </c:pt>
                <c:pt idx="3" formatCode="0.0">
                  <c:v>42.5</c:v>
                </c:pt>
              </c:numCache>
            </c:numRef>
          </c:xVal>
          <c:yVal>
            <c:numRef>
              <c:f>'Rear_6Hz (2)'!$G$22:$G$25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1409</c:v>
                </c:pt>
                <c:pt idx="3">
                  <c:v>7326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90-4CD9-9B26-153073C1AE5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'Rear_6Hz (2)'!$AP$13:$AP$53</c:f>
              <c:numCache>
                <c:formatCode>0.0</c:formatCode>
                <c:ptCount val="41"/>
              </c:numCache>
            </c:numRef>
          </c:xVal>
          <c:yVal>
            <c:numRef>
              <c:f>'Rear_6Hz (2)'!$AQ$13:$AQ$53</c:f>
              <c:numCache>
                <c:formatCode>0</c:formatCode>
                <c:ptCount val="4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90-4CD9-9B26-153073C1AE56}"/>
            </c:ext>
          </c:extLst>
        </c:ser>
        <c:ser>
          <c:idx val="1"/>
          <c:order val="4"/>
          <c:tx>
            <c:strRef>
              <c:f>'Rear_6Hz (2)'!$B$47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'Rear_6Hz (2)'!$F$57:$F$60</c:f>
              <c:numCache>
                <c:formatCode>General</c:formatCode>
                <c:ptCount val="4"/>
              </c:numCache>
            </c:numRef>
          </c:xVal>
          <c:yVal>
            <c:numRef>
              <c:f>'Rear_6Hz (2)'!$G$57:$G$60</c:f>
              <c:numCache>
                <c:formatCode>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90-4CD9-9B26-153073C1AE56}"/>
            </c:ext>
          </c:extLst>
        </c:ser>
        <c:ser>
          <c:idx val="5"/>
          <c:order val="5"/>
          <c:tx>
            <c:v>Possible stack modification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'Rear_6Hz (2)'!$F$39:$F$43</c:f>
              <c:numCache>
                <c:formatCode>General</c:formatCode>
                <c:ptCount val="5"/>
                <c:pt idx="0">
                  <c:v>4</c:v>
                </c:pt>
                <c:pt idx="1">
                  <c:v>25</c:v>
                </c:pt>
                <c:pt idx="2" formatCode="0.0">
                  <c:v>31.480685851926978</c:v>
                </c:pt>
                <c:pt idx="3" formatCode="0.0">
                  <c:v>33.424999999999997</c:v>
                </c:pt>
                <c:pt idx="4" formatCode="0.0">
                  <c:v>36.21794294294294</c:v>
                </c:pt>
              </c:numCache>
            </c:numRef>
          </c:xVal>
          <c:yVal>
            <c:numRef>
              <c:f>'Rear_6Hz (2)'!$G$39:$G$43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1409</c:v>
                </c:pt>
                <c:pt idx="3">
                  <c:v>3944</c:v>
                </c:pt>
                <c:pt idx="4">
                  <c:v>7326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90-4CD9-9B26-153073C1A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'Rear_6Hz (2)'!$S$13</c:f>
              <c:strCache>
                <c:ptCount val="1"/>
                <c:pt idx="0">
                  <c:v>Simulink 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'Rear_6Hz (2)'!$S$14:$S$63</c:f>
              <c:numCache>
                <c:formatCode>0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 formatCode="General">
                  <c:v>25</c:v>
                </c:pt>
                <c:pt idx="26" formatCode="General">
                  <c:v>26</c:v>
                </c:pt>
                <c:pt idx="27" formatCode="General">
                  <c:v>27</c:v>
                </c:pt>
                <c:pt idx="28" formatCode="General">
                  <c:v>28</c:v>
                </c:pt>
                <c:pt idx="29" formatCode="General">
                  <c:v>29</c:v>
                </c:pt>
                <c:pt idx="30" formatCode="General">
                  <c:v>30</c:v>
                </c:pt>
                <c:pt idx="31" formatCode="General">
                  <c:v>31</c:v>
                </c:pt>
                <c:pt idx="32" formatCode="General">
                  <c:v>32</c:v>
                </c:pt>
                <c:pt idx="33" formatCode="General">
                  <c:v>33</c:v>
                </c:pt>
                <c:pt idx="34" formatCode="General">
                  <c:v>34</c:v>
                </c:pt>
                <c:pt idx="35" formatCode="General">
                  <c:v>35</c:v>
                </c:pt>
                <c:pt idx="36" formatCode="General">
                  <c:v>36</c:v>
                </c:pt>
                <c:pt idx="37" formatCode="General">
                  <c:v>37</c:v>
                </c:pt>
                <c:pt idx="38" formatCode="General">
                  <c:v>38</c:v>
                </c:pt>
                <c:pt idx="39" formatCode="General">
                  <c:v>39</c:v>
                </c:pt>
                <c:pt idx="40" formatCode="General">
                  <c:v>40</c:v>
                </c:pt>
                <c:pt idx="41" formatCode="General">
                  <c:v>41</c:v>
                </c:pt>
                <c:pt idx="42" formatCode="General">
                  <c:v>42</c:v>
                </c:pt>
                <c:pt idx="43" formatCode="General">
                  <c:v>43</c:v>
                </c:pt>
              </c:numCache>
            </c:numRef>
          </c:xVal>
          <c:yVal>
            <c:numRef>
              <c:f>'Rear_6Hz (2)'!$T$14:$T$63</c:f>
              <c:numCache>
                <c:formatCode>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123.611570825855</c:v>
                </c:pt>
                <c:pt idx="25">
                  <c:v>286.00685298710999</c:v>
                </c:pt>
                <c:pt idx="26">
                  <c:v>448.40213514836501</c:v>
                </c:pt>
                <c:pt idx="27">
                  <c:v>610.79741730961996</c:v>
                </c:pt>
                <c:pt idx="28">
                  <c:v>773.19269947087503</c:v>
                </c:pt>
                <c:pt idx="29">
                  <c:v>935.58798163212998</c:v>
                </c:pt>
                <c:pt idx="30">
                  <c:v>1097.98326379338</c:v>
                </c:pt>
                <c:pt idx="31">
                  <c:v>1260.37854595464</c:v>
                </c:pt>
                <c:pt idx="32">
                  <c:v>1464.2673995324401</c:v>
                </c:pt>
                <c:pt idx="33">
                  <c:v>2015.42148760331</c:v>
                </c:pt>
                <c:pt idx="34">
                  <c:v>2574.4297520661198</c:v>
                </c:pt>
                <c:pt idx="35">
                  <c:v>3133.4380165289299</c:v>
                </c:pt>
                <c:pt idx="36">
                  <c:v>3692.44628099174</c:v>
                </c:pt>
                <c:pt idx="37">
                  <c:v>4251.4545454545396</c:v>
                </c:pt>
                <c:pt idx="38">
                  <c:v>4810.4628099173597</c:v>
                </c:pt>
                <c:pt idx="39">
                  <c:v>5369.4710743801697</c:v>
                </c:pt>
                <c:pt idx="40">
                  <c:v>5928.4793388429798</c:v>
                </c:pt>
                <c:pt idx="41">
                  <c:v>6487.4876033057799</c:v>
                </c:pt>
                <c:pt idx="42">
                  <c:v>7046.4958677686</c:v>
                </c:pt>
                <c:pt idx="43">
                  <c:v>7580.04700416367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C3-4EE8-BBA8-1B1F5896F2CB}"/>
            </c:ext>
          </c:extLst>
        </c:ser>
        <c:ser>
          <c:idx val="0"/>
          <c:order val="1"/>
          <c:tx>
            <c:strRef>
              <c:f>'Rear_6Hz (2)'!$N$12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'Rear_6Hz (2)'!$P$14:$P$54</c:f>
              <c:numCache>
                <c:formatCode>0.0</c:formatCode>
                <c:ptCount val="41"/>
                <c:pt idx="0">
                  <c:v>0</c:v>
                </c:pt>
                <c:pt idx="1">
                  <c:v>0.9</c:v>
                </c:pt>
                <c:pt idx="2">
                  <c:v>1.8</c:v>
                </c:pt>
                <c:pt idx="3">
                  <c:v>2.7</c:v>
                </c:pt>
                <c:pt idx="4">
                  <c:v>3.6</c:v>
                </c:pt>
                <c:pt idx="5">
                  <c:v>4.5</c:v>
                </c:pt>
                <c:pt idx="6">
                  <c:v>5.4</c:v>
                </c:pt>
                <c:pt idx="7">
                  <c:v>6.3</c:v>
                </c:pt>
                <c:pt idx="8">
                  <c:v>7.2</c:v>
                </c:pt>
                <c:pt idx="9">
                  <c:v>8.1</c:v>
                </c:pt>
                <c:pt idx="10">
                  <c:v>9</c:v>
                </c:pt>
                <c:pt idx="11">
                  <c:v>9.9</c:v>
                </c:pt>
                <c:pt idx="12">
                  <c:v>10.8</c:v>
                </c:pt>
                <c:pt idx="13">
                  <c:v>11.700000000000001</c:v>
                </c:pt>
                <c:pt idx="14">
                  <c:v>12.6</c:v>
                </c:pt>
                <c:pt idx="15">
                  <c:v>13.5</c:v>
                </c:pt>
                <c:pt idx="16">
                  <c:v>14.4</c:v>
                </c:pt>
                <c:pt idx="17">
                  <c:v>15.3</c:v>
                </c:pt>
                <c:pt idx="18">
                  <c:v>16.2</c:v>
                </c:pt>
                <c:pt idx="19">
                  <c:v>17.100000000000001</c:v>
                </c:pt>
                <c:pt idx="20">
                  <c:v>18</c:v>
                </c:pt>
                <c:pt idx="21">
                  <c:v>18.900000000000002</c:v>
                </c:pt>
                <c:pt idx="22">
                  <c:v>19.8</c:v>
                </c:pt>
                <c:pt idx="23">
                  <c:v>20.7</c:v>
                </c:pt>
                <c:pt idx="24">
                  <c:v>21.6</c:v>
                </c:pt>
                <c:pt idx="25">
                  <c:v>22.5</c:v>
                </c:pt>
                <c:pt idx="26">
                  <c:v>23.400000000000002</c:v>
                </c:pt>
                <c:pt idx="27">
                  <c:v>24.3</c:v>
                </c:pt>
                <c:pt idx="28">
                  <c:v>25.2</c:v>
                </c:pt>
                <c:pt idx="29">
                  <c:v>26.1</c:v>
                </c:pt>
                <c:pt idx="30">
                  <c:v>27</c:v>
                </c:pt>
                <c:pt idx="31">
                  <c:v>27.900000000000002</c:v>
                </c:pt>
                <c:pt idx="32">
                  <c:v>28.8</c:v>
                </c:pt>
                <c:pt idx="33">
                  <c:v>29.7</c:v>
                </c:pt>
                <c:pt idx="34">
                  <c:v>30.6</c:v>
                </c:pt>
                <c:pt idx="35">
                  <c:v>31.5</c:v>
                </c:pt>
                <c:pt idx="36">
                  <c:v>32.4</c:v>
                </c:pt>
                <c:pt idx="37">
                  <c:v>33.300000000000004</c:v>
                </c:pt>
                <c:pt idx="38">
                  <c:v>34.200000000000003</c:v>
                </c:pt>
                <c:pt idx="39">
                  <c:v>35.1</c:v>
                </c:pt>
                <c:pt idx="40">
                  <c:v>36</c:v>
                </c:pt>
              </c:numCache>
            </c:numRef>
          </c:xVal>
          <c:yVal>
            <c:numRef>
              <c:f>'Rear_6Hz (2)'!$Q$14:$Q$54</c:f>
              <c:numCache>
                <c:formatCode>0</c:formatCode>
                <c:ptCount val="41"/>
                <c:pt idx="0">
                  <c:v>0</c:v>
                </c:pt>
                <c:pt idx="1">
                  <c:v>1.1079367622183858E-8</c:v>
                </c:pt>
                <c:pt idx="2">
                  <c:v>1.6451245031695347E-6</c:v>
                </c:pt>
                <c:pt idx="3">
                  <c:v>3.065860261465142E-5</c:v>
                </c:pt>
                <c:pt idx="4">
                  <c:v>2.4427699515176316E-4</c:v>
                </c:pt>
                <c:pt idx="5">
                  <c:v>1.2218238461436139E-3</c:v>
                </c:pt>
                <c:pt idx="6">
                  <c:v>4.5523553432157806E-3</c:v>
                </c:pt>
                <c:pt idx="7">
                  <c:v>1.3842106064512897E-2</c:v>
                </c:pt>
                <c:pt idx="8">
                  <c:v>3.6271571084991183E-2</c:v>
                </c:pt>
                <c:pt idx="9">
                  <c:v>8.483786677509278E-2</c:v>
                </c:pt>
                <c:pt idx="10">
                  <c:v>0.18142302127632678</c:v>
                </c:pt>
                <c:pt idx="11">
                  <c:v>0.3608332664286466</c:v>
                </c:pt>
                <c:pt idx="12">
                  <c:v>0.67595837394759606</c:v>
                </c:pt>
                <c:pt idx="13">
                  <c:v>1.2042036928391424</c:v>
                </c:pt>
                <c:pt idx="14">
                  <c:v>2.0553508682757444</c:v>
                </c:pt>
                <c:pt idx="15">
                  <c:v>3.3810063030148267</c:v>
                </c:pt>
                <c:pt idx="16">
                  <c:v>5.3857992978675711</c:v>
                </c:pt>
                <c:pt idx="17">
                  <c:v>8.3404945065392884</c:v>
                </c:pt>
                <c:pt idx="18">
                  <c:v>12.597185885310198</c:v>
                </c:pt>
                <c:pt idx="19">
                  <c:v>18.606741728108791</c:v>
                </c:pt>
                <c:pt idx="20">
                  <c:v>26.938672667845051</c:v>
                </c:pt>
                <c:pt idx="21">
                  <c:v>38.303596708176315</c:v>
                </c:pt>
                <c:pt idx="22">
                  <c:v>53.578477436915236</c:v>
                </c:pt>
                <c:pt idx="23">
                  <c:v>73.834813572216007</c:v>
                </c:pt>
                <c:pt idx="24">
                  <c:v>100.36995991334663</c:v>
                </c:pt>
                <c:pt idx="25">
                  <c:v>134.7417616160765</c:v>
                </c:pt>
                <c:pt idx="26">
                  <c:v>178.8066854944226</c:v>
                </c:pt>
                <c:pt idx="27">
                  <c:v>234.7616337709006</c:v>
                </c:pt>
                <c:pt idx="28">
                  <c:v>305.18962736112587</c:v>
                </c:pt>
                <c:pt idx="29">
                  <c:v>393.10954738968184</c:v>
                </c:pt>
                <c:pt idx="30">
                  <c:v>502.03012519625952</c:v>
                </c:pt>
                <c:pt idx="31">
                  <c:v>636.00837260744231</c:v>
                </c:pt>
                <c:pt idx="32">
                  <c:v>799.71264572307621</c:v>
                </c:pt>
                <c:pt idx="33">
                  <c:v>998.49053689960908</c:v>
                </c:pt>
                <c:pt idx="34">
                  <c:v>1238.441791008473</c:v>
                </c:pt>
                <c:pt idx="35">
                  <c:v>1526.496443407782</c:v>
                </c:pt>
                <c:pt idx="36">
                  <c:v>1870.4983783921382</c:v>
                </c:pt>
                <c:pt idx="37">
                  <c:v>2279.2945081802773</c:v>
                </c:pt>
                <c:pt idx="38">
                  <c:v>2762.8297737651174</c:v>
                </c:pt>
                <c:pt idx="39">
                  <c:v>3332.248170186976</c:v>
                </c:pt>
                <c:pt idx="40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C3-4EE8-BBA8-1B1F5896F2CB}"/>
            </c:ext>
          </c:extLst>
        </c:ser>
        <c:ser>
          <c:idx val="4"/>
          <c:order val="4"/>
          <c:tx>
            <c:v>Exp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'Rear_6Hz (2)'!$W$14:$W$28</c:f>
              <c:numCache>
                <c:formatCode>General</c:formatCode>
                <c:ptCount val="15"/>
                <c:pt idx="0">
                  <c:v>23</c:v>
                </c:pt>
                <c:pt idx="1">
                  <c:v>24</c:v>
                </c:pt>
                <c:pt idx="2">
                  <c:v>25</c:v>
                </c:pt>
                <c:pt idx="3">
                  <c:v>26</c:v>
                </c:pt>
                <c:pt idx="4">
                  <c:v>27</c:v>
                </c:pt>
                <c:pt idx="5">
                  <c:v>28</c:v>
                </c:pt>
                <c:pt idx="6">
                  <c:v>29</c:v>
                </c:pt>
                <c:pt idx="7">
                  <c:v>30</c:v>
                </c:pt>
                <c:pt idx="8">
                  <c:v>31</c:v>
                </c:pt>
                <c:pt idx="9">
                  <c:v>32</c:v>
                </c:pt>
                <c:pt idx="10">
                  <c:v>33</c:v>
                </c:pt>
                <c:pt idx="11">
                  <c:v>34</c:v>
                </c:pt>
                <c:pt idx="12">
                  <c:v>35</c:v>
                </c:pt>
                <c:pt idx="13">
                  <c:v>36</c:v>
                </c:pt>
                <c:pt idx="14">
                  <c:v>37</c:v>
                </c:pt>
              </c:numCache>
            </c:numRef>
          </c:xVal>
          <c:yVal>
            <c:numRef>
              <c:f>'Rear_6Hz (2)'!$Z$14:$Z$28</c:f>
              <c:numCache>
                <c:formatCode>0</c:formatCode>
                <c:ptCount val="15"/>
                <c:pt idx="0" formatCode="General">
                  <c:v>0</c:v>
                </c:pt>
                <c:pt idx="1">
                  <c:v>44.145000000000003</c:v>
                </c:pt>
                <c:pt idx="2">
                  <c:v>176.58</c:v>
                </c:pt>
                <c:pt idx="3">
                  <c:v>361.98900000000003</c:v>
                </c:pt>
                <c:pt idx="4">
                  <c:v>565.05600000000004</c:v>
                </c:pt>
                <c:pt idx="5">
                  <c:v>772.53750000000002</c:v>
                </c:pt>
                <c:pt idx="6">
                  <c:v>971.19000000000017</c:v>
                </c:pt>
                <c:pt idx="7">
                  <c:v>1169.8425</c:v>
                </c:pt>
                <c:pt idx="8">
                  <c:v>1346.4225000000001</c:v>
                </c:pt>
                <c:pt idx="9">
                  <c:v>1536.2460000000001</c:v>
                </c:pt>
                <c:pt idx="10">
                  <c:v>1765.8</c:v>
                </c:pt>
                <c:pt idx="11">
                  <c:v>2273.4675000000002</c:v>
                </c:pt>
                <c:pt idx="12">
                  <c:v>2891.4974999999999</c:v>
                </c:pt>
                <c:pt idx="13">
                  <c:v>3522.7710000000002</c:v>
                </c:pt>
                <c:pt idx="14">
                  <c:v>4193.7750000000005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C3-4EE8-BBA8-1B1F5896F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543375"/>
        <c:axId val="52327331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'Rear_6Hz (2)'!$AN$11</c15:sqref>
                        </c15:formulaRef>
                      </c:ext>
                    </c:extLst>
                    <c:strCache>
                      <c:ptCount val="1"/>
                      <c:pt idx="0">
                        <c:v>Bellevilles only (No Coil) @ Damper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'Rear_6Hz (2)'!$AN$13:$AN$63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'Rear_6Hz (2)'!$AO$13:$AO$63</c15:sqref>
                        </c15:formulaRef>
                      </c:ext>
                    </c:extLst>
                    <c:numCache>
                      <c:formatCode>0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7AC3-4EE8-BBA8-1B1F5896F2C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'Rear_6Hz (2)'!$AS$11</c15:sqref>
                        </c15:formulaRef>
                      </c:ext>
                    </c:extLst>
                    <c:strCache>
                      <c:ptCount val="1"/>
                      <c:pt idx="0">
                        <c:v>Linear spring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'Rear_6Hz (2)'!$AS$13:$AS$73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-10</c:v>
                      </c:pt>
                      <c:pt idx="1">
                        <c:v>-9</c:v>
                      </c:pt>
                      <c:pt idx="2">
                        <c:v>-8</c:v>
                      </c:pt>
                      <c:pt idx="3">
                        <c:v>-7</c:v>
                      </c:pt>
                      <c:pt idx="4">
                        <c:v>-6</c:v>
                      </c:pt>
                      <c:pt idx="5">
                        <c:v>-5</c:v>
                      </c:pt>
                      <c:pt idx="6">
                        <c:v>-4</c:v>
                      </c:pt>
                      <c:pt idx="7">
                        <c:v>-3</c:v>
                      </c:pt>
                      <c:pt idx="8">
                        <c:v>-2</c:v>
                      </c:pt>
                      <c:pt idx="9">
                        <c:v>-1</c:v>
                      </c:pt>
                      <c:pt idx="10">
                        <c:v>0</c:v>
                      </c:pt>
                      <c:pt idx="11">
                        <c:v>1</c:v>
                      </c:pt>
                      <c:pt idx="12">
                        <c:v>2</c:v>
                      </c:pt>
                      <c:pt idx="13">
                        <c:v>3</c:v>
                      </c:pt>
                      <c:pt idx="14">
                        <c:v>4</c:v>
                      </c:pt>
                      <c:pt idx="15">
                        <c:v>5</c:v>
                      </c:pt>
                      <c:pt idx="16">
                        <c:v>6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9</c:v>
                      </c:pt>
                      <c:pt idx="20">
                        <c:v>10</c:v>
                      </c:pt>
                      <c:pt idx="21">
                        <c:v>11</c:v>
                      </c:pt>
                      <c:pt idx="22">
                        <c:v>12</c:v>
                      </c:pt>
                      <c:pt idx="23">
                        <c:v>13</c:v>
                      </c:pt>
                      <c:pt idx="24">
                        <c:v>14</c:v>
                      </c:pt>
                      <c:pt idx="25">
                        <c:v>15</c:v>
                      </c:pt>
                      <c:pt idx="26">
                        <c:v>16</c:v>
                      </c:pt>
                      <c:pt idx="27">
                        <c:v>17</c:v>
                      </c:pt>
                      <c:pt idx="28">
                        <c:v>18</c:v>
                      </c:pt>
                      <c:pt idx="29">
                        <c:v>19</c:v>
                      </c:pt>
                      <c:pt idx="30">
                        <c:v>20</c:v>
                      </c:pt>
                      <c:pt idx="31">
                        <c:v>21</c:v>
                      </c:pt>
                      <c:pt idx="32">
                        <c:v>22</c:v>
                      </c:pt>
                      <c:pt idx="33">
                        <c:v>23</c:v>
                      </c:pt>
                      <c:pt idx="34">
                        <c:v>24</c:v>
                      </c:pt>
                      <c:pt idx="35">
                        <c:v>25</c:v>
                      </c:pt>
                      <c:pt idx="36">
                        <c:v>26</c:v>
                      </c:pt>
                      <c:pt idx="37">
                        <c:v>27</c:v>
                      </c:pt>
                      <c:pt idx="38">
                        <c:v>28</c:v>
                      </c:pt>
                      <c:pt idx="39">
                        <c:v>29</c:v>
                      </c:pt>
                      <c:pt idx="40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'Rear_6Hz (2)'!$AT$13:$AT$73</c15:sqref>
                        </c15:formulaRef>
                      </c:ext>
                    </c:extLst>
                    <c:numCache>
                      <c:formatCode>0</c:formatCode>
                      <c:ptCount val="6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C3-4EE8-BBA8-1B1F5896F2CB}"/>
                  </c:ext>
                </c:extLst>
              </c15:ser>
            </c15:filteredScatterSeries>
          </c:ext>
        </c:extLst>
      </c:scatterChart>
      <c:valAx>
        <c:axId val="2405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273311"/>
        <c:crosses val="autoZero"/>
        <c:crossBetween val="midCat"/>
      </c:valAx>
      <c:valAx>
        <c:axId val="52327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054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26331</xdr:colOff>
      <xdr:row>10</xdr:row>
      <xdr:rowOff>20167</xdr:rowOff>
    </xdr:from>
    <xdr:to>
      <xdr:col>35</xdr:col>
      <xdr:colOff>12326</xdr:colOff>
      <xdr:row>30</xdr:row>
      <xdr:rowOff>160243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D25269-6D3B-487B-B739-72F032590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22411</xdr:colOff>
      <xdr:row>32</xdr:row>
      <xdr:rowOff>22411</xdr:rowOff>
    </xdr:from>
    <xdr:to>
      <xdr:col>35</xdr:col>
      <xdr:colOff>26894</xdr:colOff>
      <xdr:row>52</xdr:row>
      <xdr:rowOff>162487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047C7C-1FF7-4EC2-8543-C3ED52EA1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26331</xdr:colOff>
      <xdr:row>10</xdr:row>
      <xdr:rowOff>20167</xdr:rowOff>
    </xdr:from>
    <xdr:to>
      <xdr:col>35</xdr:col>
      <xdr:colOff>12326</xdr:colOff>
      <xdr:row>30</xdr:row>
      <xdr:rowOff>160243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7C3495-F177-44AB-AC9B-F4E3D071A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22411</xdr:colOff>
      <xdr:row>32</xdr:row>
      <xdr:rowOff>22411</xdr:rowOff>
    </xdr:from>
    <xdr:to>
      <xdr:col>35</xdr:col>
      <xdr:colOff>26894</xdr:colOff>
      <xdr:row>52</xdr:row>
      <xdr:rowOff>162487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DB0701-6FF1-4C47-8288-B4FA0DE7B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26331</xdr:colOff>
      <xdr:row>10</xdr:row>
      <xdr:rowOff>20167</xdr:rowOff>
    </xdr:from>
    <xdr:to>
      <xdr:col>35</xdr:col>
      <xdr:colOff>12326</xdr:colOff>
      <xdr:row>30</xdr:row>
      <xdr:rowOff>160243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F04573-940C-49A5-AC76-2E67A82D0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22411</xdr:colOff>
      <xdr:row>32</xdr:row>
      <xdr:rowOff>22411</xdr:rowOff>
    </xdr:from>
    <xdr:to>
      <xdr:col>35</xdr:col>
      <xdr:colOff>26894</xdr:colOff>
      <xdr:row>52</xdr:row>
      <xdr:rowOff>162487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CAC015-0F95-4874-9F74-E24270375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428624</xdr:colOff>
      <xdr:row>55</xdr:row>
      <xdr:rowOff>29935</xdr:rowOff>
    </xdr:from>
    <xdr:to>
      <xdr:col>34</xdr:col>
      <xdr:colOff>596447</xdr:colOff>
      <xdr:row>76</xdr:row>
      <xdr:rowOff>81643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C5B7D6-EFBA-40C8-A5D1-83C7FD49B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26331</xdr:colOff>
      <xdr:row>10</xdr:row>
      <xdr:rowOff>20167</xdr:rowOff>
    </xdr:from>
    <xdr:to>
      <xdr:col>35</xdr:col>
      <xdr:colOff>12326</xdr:colOff>
      <xdr:row>30</xdr:row>
      <xdr:rowOff>160243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341660-A1CD-4D7F-A7C8-738B6E41E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22411</xdr:colOff>
      <xdr:row>32</xdr:row>
      <xdr:rowOff>22411</xdr:rowOff>
    </xdr:from>
    <xdr:to>
      <xdr:col>35</xdr:col>
      <xdr:colOff>26894</xdr:colOff>
      <xdr:row>52</xdr:row>
      <xdr:rowOff>162487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7B8192-AEE2-4B54-B0B6-DF37517CD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37539</xdr:colOff>
      <xdr:row>10</xdr:row>
      <xdr:rowOff>98608</xdr:rowOff>
    </xdr:from>
    <xdr:to>
      <xdr:col>38</xdr:col>
      <xdr:colOff>403413</xdr:colOff>
      <xdr:row>31</xdr:row>
      <xdr:rowOff>48184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23266-12A7-447C-BED0-961E64221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44823</xdr:colOff>
      <xdr:row>32</xdr:row>
      <xdr:rowOff>11205</xdr:rowOff>
    </xdr:from>
    <xdr:to>
      <xdr:col>38</xdr:col>
      <xdr:colOff>403412</xdr:colOff>
      <xdr:row>52</xdr:row>
      <xdr:rowOff>151281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7E4BB0-69D3-4C93-8143-B37AF37A0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93566</xdr:colOff>
      <xdr:row>10</xdr:row>
      <xdr:rowOff>31373</xdr:rowOff>
    </xdr:from>
    <xdr:to>
      <xdr:col>36</xdr:col>
      <xdr:colOff>124385</xdr:colOff>
      <xdr:row>30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6C7E16-03B0-40F2-A73E-F995E4C46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123264</xdr:colOff>
      <xdr:row>31</xdr:row>
      <xdr:rowOff>22411</xdr:rowOff>
    </xdr:from>
    <xdr:to>
      <xdr:col>36</xdr:col>
      <xdr:colOff>172571</xdr:colOff>
      <xdr:row>51</xdr:row>
      <xdr:rowOff>162487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6C2396-D74C-42CA-872D-906D9F437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26331</xdr:colOff>
      <xdr:row>10</xdr:row>
      <xdr:rowOff>20167</xdr:rowOff>
    </xdr:from>
    <xdr:to>
      <xdr:col>35</xdr:col>
      <xdr:colOff>12326</xdr:colOff>
      <xdr:row>30</xdr:row>
      <xdr:rowOff>160243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A38B3-1FDD-4029-9649-393C51D11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22411</xdr:colOff>
      <xdr:row>32</xdr:row>
      <xdr:rowOff>22411</xdr:rowOff>
    </xdr:from>
    <xdr:to>
      <xdr:col>35</xdr:col>
      <xdr:colOff>26894</xdr:colOff>
      <xdr:row>52</xdr:row>
      <xdr:rowOff>162487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C1BAF4-6127-4157-85FE-16940C530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37539</xdr:colOff>
      <xdr:row>10</xdr:row>
      <xdr:rowOff>98608</xdr:rowOff>
    </xdr:from>
    <xdr:to>
      <xdr:col>38</xdr:col>
      <xdr:colOff>403413</xdr:colOff>
      <xdr:row>31</xdr:row>
      <xdr:rowOff>48184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E13114-A393-4B84-998B-B9C77579A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44823</xdr:colOff>
      <xdr:row>32</xdr:row>
      <xdr:rowOff>11205</xdr:rowOff>
    </xdr:from>
    <xdr:to>
      <xdr:col>38</xdr:col>
      <xdr:colOff>403412</xdr:colOff>
      <xdr:row>52</xdr:row>
      <xdr:rowOff>151281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E9077B-E6B1-4125-95F7-0E59DBD8C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4735-D176-4F1A-8C2E-63E8839FC439}">
  <sheetPr>
    <tabColor rgb="FFFFFF00"/>
  </sheetPr>
  <dimension ref="B1:AT73"/>
  <sheetViews>
    <sheetView zoomScale="85" zoomScaleNormal="85" workbookViewId="0"/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4" width="9.7109375" customWidth="1"/>
    <col min="39" max="39" width="11.42578125" bestFit="1" customWidth="1"/>
  </cols>
  <sheetData>
    <row r="1" spans="2:46" ht="15.75" thickBot="1" x14ac:dyDescent="0.3"/>
    <row r="2" spans="2:46" ht="15.75" thickBot="1" x14ac:dyDescent="0.3">
      <c r="B2" s="1" t="s">
        <v>0</v>
      </c>
      <c r="J2" s="149" t="s">
        <v>122</v>
      </c>
      <c r="K2" s="150"/>
      <c r="L2" s="150"/>
      <c r="M2" s="150"/>
      <c r="N2" s="151"/>
      <c r="O2" s="149" t="s">
        <v>123</v>
      </c>
      <c r="P2" s="150"/>
      <c r="Q2" s="150"/>
      <c r="R2" s="150"/>
      <c r="S2" s="151"/>
      <c r="T2" s="149" t="s">
        <v>124</v>
      </c>
      <c r="U2" s="150"/>
      <c r="V2" s="150"/>
      <c r="W2" s="150"/>
      <c r="X2" s="151"/>
      <c r="Y2" s="149" t="s">
        <v>125</v>
      </c>
      <c r="Z2" s="150"/>
      <c r="AA2" s="150"/>
      <c r="AB2" s="150"/>
      <c r="AC2" s="151"/>
    </row>
    <row r="3" spans="2:46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3" t="s">
        <v>14</v>
      </c>
      <c r="AE3" s="57" t="s">
        <v>15</v>
      </c>
      <c r="AF3" s="58" t="s">
        <v>16</v>
      </c>
      <c r="AG3" s="58" t="s">
        <v>17</v>
      </c>
      <c r="AH3" s="59" t="s">
        <v>18</v>
      </c>
      <c r="AJ3" t="s">
        <v>10</v>
      </c>
      <c r="AO3" t="s">
        <v>19</v>
      </c>
    </row>
    <row r="4" spans="2:46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>
        <f>Z4/Y4</f>
        <v>2621.1111111111109</v>
      </c>
      <c r="AJ4" s="13">
        <f>K4</f>
        <v>790.5</v>
      </c>
      <c r="AK4" s="13">
        <f>P4</f>
        <v>1409</v>
      </c>
      <c r="AL4" s="13">
        <f>U4</f>
        <v>1913</v>
      </c>
      <c r="AM4" s="13">
        <f>Z4</f>
        <v>2359</v>
      </c>
      <c r="AO4" s="14">
        <f>J4</f>
        <v>0.22500000000000001</v>
      </c>
      <c r="AP4" s="14">
        <f>O4</f>
        <v>0.45</v>
      </c>
      <c r="AQ4" s="14">
        <f>T4</f>
        <v>0.67500000000000004</v>
      </c>
      <c r="AR4" s="14">
        <f>Y4</f>
        <v>0.9</v>
      </c>
    </row>
    <row r="5" spans="2:46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>
        <v>3721.9047619047619</v>
      </c>
      <c r="AJ5" s="13">
        <f t="shared" ref="AJ5" si="0">K5</f>
        <v>1291</v>
      </c>
      <c r="AK5" s="13">
        <f t="shared" ref="AK5" si="1">P5</f>
        <v>2313</v>
      </c>
      <c r="AL5" s="13">
        <f t="shared" ref="AL5" si="2">U5</f>
        <v>3155</v>
      </c>
      <c r="AM5" s="13">
        <f t="shared" ref="AM5" si="3">Z5</f>
        <v>3908</v>
      </c>
      <c r="AO5" s="14">
        <f t="shared" ref="AO5" si="4">J5</f>
        <v>0.26200000000000001</v>
      </c>
      <c r="AP5" s="14">
        <f t="shared" ref="AP5" si="5">O5</f>
        <v>0.52500000000000002</v>
      </c>
      <c r="AQ5" s="14">
        <f t="shared" ref="AQ5" si="6">T5</f>
        <v>0.78700000000000003</v>
      </c>
      <c r="AR5" s="14">
        <f t="shared" ref="AR5" si="7">Y5</f>
        <v>1.05</v>
      </c>
    </row>
    <row r="6" spans="2:46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>
        <f>Z6/Y6</f>
        <v>5981.8181818181811</v>
      </c>
      <c r="AJ6" s="13">
        <f>K6</f>
        <v>1972</v>
      </c>
      <c r="AK6" s="13">
        <f>P6</f>
        <v>3663</v>
      </c>
      <c r="AL6" s="13">
        <f>U6</f>
        <v>5169</v>
      </c>
      <c r="AM6" s="13">
        <f>Z6</f>
        <v>6580</v>
      </c>
      <c r="AO6" s="14">
        <f>J6</f>
        <v>0.27500000000000002</v>
      </c>
      <c r="AP6" s="14">
        <f>O6</f>
        <v>0.55000000000000004</v>
      </c>
      <c r="AQ6" s="14">
        <f>T6</f>
        <v>0.82499999999999996</v>
      </c>
      <c r="AR6" s="14">
        <f>Y6</f>
        <v>1.1000000000000001</v>
      </c>
    </row>
    <row r="7" spans="2:46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>
        <f>Z7/Y7</f>
        <v>8821.176470588236</v>
      </c>
      <c r="AJ7" s="13">
        <f>K7</f>
        <v>2097</v>
      </c>
      <c r="AK7" s="13">
        <f>P7</f>
        <v>4003</v>
      </c>
      <c r="AL7" s="13">
        <f>U7</f>
        <v>5783</v>
      </c>
      <c r="AM7" s="13">
        <f>Z7</f>
        <v>7498</v>
      </c>
      <c r="AO7" s="14">
        <f>J7</f>
        <v>0.21199999999999999</v>
      </c>
      <c r="AP7" s="14">
        <f>O7</f>
        <v>0.42499999999999999</v>
      </c>
      <c r="AQ7" s="14">
        <f>T7</f>
        <v>0.63700000000000001</v>
      </c>
      <c r="AR7" s="14">
        <f>Y7</f>
        <v>0.85</v>
      </c>
    </row>
    <row r="8" spans="2:46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>
        <f t="shared" ref="AH8" si="11">Z8/Y8</f>
        <v>10738.666666666666</v>
      </c>
      <c r="AJ8" s="13">
        <f>K8</f>
        <v>2199</v>
      </c>
      <c r="AK8" s="13">
        <f>P8</f>
        <v>4239</v>
      </c>
      <c r="AL8" s="13">
        <f>U8</f>
        <v>6173</v>
      </c>
      <c r="AM8" s="13">
        <f>Z8</f>
        <v>8054</v>
      </c>
      <c r="AO8" s="14">
        <f>J8</f>
        <v>0.187</v>
      </c>
      <c r="AP8" s="14">
        <f>O8</f>
        <v>0.375</v>
      </c>
      <c r="AQ8" s="14">
        <f>T8</f>
        <v>0.56200000000000006</v>
      </c>
      <c r="AR8" s="14">
        <f>Y8</f>
        <v>0.75</v>
      </c>
    </row>
    <row r="9" spans="2:4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</row>
    <row r="10" spans="2:46" x14ac:dyDescent="0.25">
      <c r="N10" s="15" t="s">
        <v>71</v>
      </c>
      <c r="O10" s="16">
        <v>1.2</v>
      </c>
      <c r="Q10" s="47" t="s">
        <v>102</v>
      </c>
      <c r="R10" s="16">
        <v>24</v>
      </c>
    </row>
    <row r="11" spans="2:46" x14ac:dyDescent="0.25">
      <c r="AH11" s="22"/>
      <c r="AK11" s="20" t="s">
        <v>75</v>
      </c>
      <c r="AL11" s="18"/>
      <c r="AM11" s="18"/>
      <c r="AN11" s="19"/>
      <c r="AP11" s="1" t="s">
        <v>76</v>
      </c>
    </row>
    <row r="12" spans="2:46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AH12" s="1"/>
      <c r="AK12" s="25" t="s">
        <v>79</v>
      </c>
      <c r="AL12" s="26" t="s">
        <v>80</v>
      </c>
      <c r="AM12" s="26"/>
      <c r="AN12" s="27"/>
    </row>
    <row r="13" spans="2:46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AG13" s="1"/>
      <c r="AH13" s="13"/>
      <c r="AI13" s="13"/>
      <c r="AK13" s="33"/>
      <c r="AL13" s="34"/>
      <c r="AM13" s="31"/>
      <c r="AN13" s="13"/>
      <c r="AP13">
        <v>-10</v>
      </c>
      <c r="AQ13" s="13">
        <f>IF(AP13&lt;$C$13,0,(AP13-$C$13)*$C$14)</f>
        <v>0</v>
      </c>
      <c r="AS13" s="13"/>
      <c r="AT13" s="13"/>
    </row>
    <row r="14" spans="2:46" x14ac:dyDescent="0.25">
      <c r="B14" s="23" t="s">
        <v>84</v>
      </c>
      <c r="C14">
        <v>61</v>
      </c>
      <c r="D14" t="s">
        <v>85</v>
      </c>
      <c r="L14" s="24"/>
      <c r="N14" s="29">
        <v>0</v>
      </c>
      <c r="O14" s="30">
        <v>0</v>
      </c>
      <c r="P14" s="31">
        <f t="shared" ref="P14:P34" si="12">N14*$O$10</f>
        <v>0</v>
      </c>
      <c r="Q14" s="13">
        <f t="shared" ref="Q14:Q34" si="13">O14/($O$10)</f>
        <v>0</v>
      </c>
      <c r="S14" s="32">
        <v>0</v>
      </c>
      <c r="T14" s="32">
        <v>0</v>
      </c>
      <c r="AG14" s="13"/>
      <c r="AH14" s="13"/>
      <c r="AI14" s="13"/>
      <c r="AK14" s="33"/>
      <c r="AL14" s="34"/>
      <c r="AM14" s="31"/>
      <c r="AN14" s="13"/>
      <c r="AP14">
        <v>-9</v>
      </c>
      <c r="AQ14" s="13">
        <f t="shared" ref="AQ14:AQ53" si="14">IF(AP14&lt;$C$13,0,(AP14-$C$13)*$C$14)</f>
        <v>0</v>
      </c>
      <c r="AS14" s="13"/>
      <c r="AT14" s="13"/>
    </row>
    <row r="15" spans="2:46" x14ac:dyDescent="0.25">
      <c r="B15" s="35"/>
      <c r="L15" s="24"/>
      <c r="N15" s="29">
        <v>1</v>
      </c>
      <c r="O15" s="30">
        <v>6.1525248384181879</v>
      </c>
      <c r="P15" s="31">
        <f t="shared" si="12"/>
        <v>1.2</v>
      </c>
      <c r="Q15" s="13">
        <f t="shared" si="13"/>
        <v>5.1271040320151569</v>
      </c>
      <c r="S15" s="32">
        <v>1</v>
      </c>
      <c r="T15" s="32">
        <v>0</v>
      </c>
      <c r="AG15" s="13"/>
      <c r="AH15" s="13"/>
      <c r="AI15" s="13"/>
      <c r="AK15" s="33"/>
      <c r="AL15" s="34"/>
      <c r="AM15" s="31"/>
      <c r="AN15" s="13"/>
      <c r="AP15">
        <v>-8</v>
      </c>
      <c r="AQ15" s="13">
        <f t="shared" si="14"/>
        <v>0</v>
      </c>
      <c r="AS15" s="13"/>
      <c r="AT15" s="13"/>
    </row>
    <row r="16" spans="2:46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23.670704352490464</v>
      </c>
      <c r="P16" s="31">
        <f t="shared" si="12"/>
        <v>2.4</v>
      </c>
      <c r="Q16" s="13">
        <f t="shared" si="13"/>
        <v>19.72558696040872</v>
      </c>
      <c r="S16" s="32">
        <v>2</v>
      </c>
      <c r="T16" s="32">
        <v>0</v>
      </c>
      <c r="AG16" s="13"/>
      <c r="AH16" s="13"/>
      <c r="AI16" s="13"/>
      <c r="AK16" s="33"/>
      <c r="AL16" s="34"/>
      <c r="AM16" s="31"/>
      <c r="AN16" s="13"/>
      <c r="AP16">
        <v>-7</v>
      </c>
      <c r="AQ16" s="13">
        <f t="shared" si="14"/>
        <v>0</v>
      </c>
      <c r="AS16" s="13"/>
      <c r="AT16" s="13"/>
    </row>
    <row r="17" spans="2:46" x14ac:dyDescent="0.25">
      <c r="B17" s="35">
        <v>0</v>
      </c>
      <c r="C17" t="s">
        <v>95</v>
      </c>
      <c r="G17" s="36">
        <v>18</v>
      </c>
      <c r="H17">
        <v>0</v>
      </c>
      <c r="I17">
        <v>0</v>
      </c>
      <c r="J17">
        <f>G17</f>
        <v>18</v>
      </c>
      <c r="K17">
        <v>0</v>
      </c>
      <c r="L17" s="24"/>
      <c r="N17" s="29">
        <v>3</v>
      </c>
      <c r="O17" s="30">
        <v>52.060286560057818</v>
      </c>
      <c r="P17" s="31">
        <f t="shared" si="12"/>
        <v>3.5999999999999996</v>
      </c>
      <c r="Q17" s="13">
        <f t="shared" si="13"/>
        <v>43.38357213338152</v>
      </c>
      <c r="S17" s="32">
        <v>3</v>
      </c>
      <c r="T17" s="32">
        <v>0</v>
      </c>
      <c r="AG17" s="13"/>
      <c r="AH17" s="13"/>
      <c r="AI17" s="13"/>
      <c r="AK17" s="33"/>
      <c r="AL17" s="34"/>
      <c r="AM17" s="31"/>
      <c r="AN17" s="13"/>
      <c r="AP17">
        <v>-6</v>
      </c>
      <c r="AQ17" s="13">
        <f t="shared" si="14"/>
        <v>0</v>
      </c>
      <c r="AS17" s="13"/>
      <c r="AT17" s="13"/>
    </row>
    <row r="18" spans="2:46" x14ac:dyDescent="0.25">
      <c r="B18" s="35">
        <v>1</v>
      </c>
      <c r="C18" s="37" t="str">
        <f>B4</f>
        <v>18 0011</v>
      </c>
      <c r="D18" s="36">
        <v>22</v>
      </c>
      <c r="E18" s="36">
        <v>1</v>
      </c>
      <c r="F18" s="38">
        <v>0.45</v>
      </c>
      <c r="G18" s="14">
        <f>F18*D18</f>
        <v>9.9</v>
      </c>
      <c r="H18" s="39">
        <f>AF4*F18*E18</f>
        <v>1409</v>
      </c>
      <c r="I18" s="13">
        <f>H18/G18</f>
        <v>142.3232323232323</v>
      </c>
      <c r="J18" s="40">
        <f>G4*D18+((E18-1)*D18*E4)</f>
        <v>47.3</v>
      </c>
      <c r="K18" s="31">
        <f>J18-G18</f>
        <v>37.4</v>
      </c>
      <c r="L18" s="24"/>
      <c r="N18" s="29">
        <v>4</v>
      </c>
      <c r="O18" s="30">
        <v>91.068668434187828</v>
      </c>
      <c r="P18" s="31">
        <f t="shared" si="12"/>
        <v>4.8</v>
      </c>
      <c r="Q18" s="13">
        <f t="shared" si="13"/>
        <v>75.890557028489866</v>
      </c>
      <c r="S18" s="32">
        <v>4</v>
      </c>
      <c r="T18" s="32">
        <v>0</v>
      </c>
      <c r="AG18" s="13"/>
      <c r="AH18" s="13"/>
      <c r="AI18" s="13"/>
      <c r="AK18" s="33"/>
      <c r="AL18" s="34"/>
      <c r="AM18" s="31"/>
      <c r="AN18" s="13"/>
      <c r="AP18">
        <v>-5</v>
      </c>
      <c r="AQ18" s="13">
        <f t="shared" si="14"/>
        <v>0</v>
      </c>
      <c r="AS18" s="13"/>
      <c r="AT18" s="13"/>
    </row>
    <row r="19" spans="2:46" x14ac:dyDescent="0.25">
      <c r="B19" s="35">
        <v>2</v>
      </c>
      <c r="C19" s="37" t="str">
        <f>B4</f>
        <v>18 0011</v>
      </c>
      <c r="D19" s="36">
        <v>22</v>
      </c>
      <c r="E19" s="36">
        <v>1</v>
      </c>
      <c r="F19" s="38">
        <v>0.45</v>
      </c>
      <c r="G19" s="14">
        <f>F19*D19</f>
        <v>9.9</v>
      </c>
      <c r="H19" s="39">
        <f>AF4*F19*E19</f>
        <v>1409</v>
      </c>
      <c r="I19" s="13">
        <f>H19/G19</f>
        <v>142.3232323232323</v>
      </c>
      <c r="J19" s="40">
        <f>G4*D19+((E19-1)*D19*E4)</f>
        <v>47.3</v>
      </c>
      <c r="K19" s="31">
        <f>J19-G19</f>
        <v>37.4</v>
      </c>
      <c r="L19" s="24"/>
      <c r="N19" s="29">
        <v>5</v>
      </c>
      <c r="O19" s="30">
        <v>140.52310068811383</v>
      </c>
      <c r="P19" s="31">
        <f t="shared" si="12"/>
        <v>6</v>
      </c>
      <c r="Q19" s="13">
        <f t="shared" si="13"/>
        <v>117.10258390676152</v>
      </c>
      <c r="S19" s="32">
        <v>5</v>
      </c>
      <c r="T19" s="32">
        <v>61</v>
      </c>
      <c r="AG19" s="13"/>
      <c r="AH19" s="13"/>
      <c r="AI19" s="13"/>
      <c r="AK19" s="33"/>
      <c r="AL19" s="34"/>
      <c r="AM19" s="31"/>
      <c r="AN19" s="13"/>
      <c r="AP19">
        <v>-4</v>
      </c>
      <c r="AQ19" s="13">
        <f t="shared" si="14"/>
        <v>0</v>
      </c>
      <c r="AS19" s="13"/>
      <c r="AT19" s="13"/>
    </row>
    <row r="20" spans="2:46" x14ac:dyDescent="0.25">
      <c r="B20" s="35"/>
      <c r="L20" s="24"/>
      <c r="N20" s="29">
        <v>6</v>
      </c>
      <c r="O20" s="30">
        <v>200.29234891896607</v>
      </c>
      <c r="P20" s="31">
        <f t="shared" si="12"/>
        <v>7.1999999999999993</v>
      </c>
      <c r="Q20" s="13">
        <f t="shared" si="13"/>
        <v>166.91029076580506</v>
      </c>
      <c r="S20" s="32">
        <v>6</v>
      </c>
      <c r="T20" s="32">
        <v>122</v>
      </c>
      <c r="AG20" s="13"/>
      <c r="AH20" s="13"/>
      <c r="AI20" s="13"/>
      <c r="AK20" s="33"/>
      <c r="AL20" s="34"/>
      <c r="AM20" s="31"/>
      <c r="AN20" s="13"/>
      <c r="AP20">
        <v>-3</v>
      </c>
      <c r="AQ20" s="13">
        <f t="shared" si="14"/>
        <v>0</v>
      </c>
      <c r="AS20" s="13"/>
      <c r="AT20" s="13"/>
    </row>
    <row r="21" spans="2:46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112.6</v>
      </c>
      <c r="K21" s="43">
        <f>SUM(K17:K19)</f>
        <v>74.8</v>
      </c>
      <c r="L21" s="24"/>
      <c r="N21" s="29">
        <v>7</v>
      </c>
      <c r="O21" s="30">
        <v>270.2707339196694</v>
      </c>
      <c r="P21" s="31">
        <f t="shared" si="12"/>
        <v>8.4</v>
      </c>
      <c r="Q21" s="13">
        <f t="shared" si="13"/>
        <v>225.22561159972452</v>
      </c>
      <c r="S21" s="32">
        <v>7</v>
      </c>
      <c r="T21" s="32">
        <v>183</v>
      </c>
      <c r="AG21" s="13"/>
      <c r="AH21" s="13"/>
      <c r="AI21" s="13"/>
      <c r="AK21" s="33"/>
      <c r="AL21" s="34"/>
      <c r="AM21" s="31"/>
      <c r="AN21" s="13"/>
      <c r="AP21">
        <v>-2</v>
      </c>
      <c r="AQ21" s="13">
        <f t="shared" si="14"/>
        <v>0</v>
      </c>
      <c r="AS21" s="13"/>
      <c r="AT21" s="13"/>
    </row>
    <row r="22" spans="2:46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350.36990225867316</v>
      </c>
      <c r="P22" s="31">
        <f t="shared" si="12"/>
        <v>9.6</v>
      </c>
      <c r="Q22" s="13">
        <f t="shared" si="13"/>
        <v>291.97491854889432</v>
      </c>
      <c r="S22" s="32">
        <v>8</v>
      </c>
      <c r="T22" s="32">
        <v>244</v>
      </c>
      <c r="AG22" s="13"/>
      <c r="AH22" s="13"/>
      <c r="AI22" s="13"/>
      <c r="AK22" s="33"/>
      <c r="AL22" s="34"/>
      <c r="AM22" s="31"/>
      <c r="AN22" s="13"/>
      <c r="AP22">
        <v>-1</v>
      </c>
      <c r="AQ22" s="13">
        <f t="shared" si="14"/>
        <v>0</v>
      </c>
      <c r="AS22" s="13"/>
      <c r="AT22" s="13"/>
    </row>
    <row r="23" spans="2:46" x14ac:dyDescent="0.25">
      <c r="B23" s="35" t="s">
        <v>101</v>
      </c>
      <c r="C23">
        <v>0</v>
      </c>
      <c r="F23">
        <f>G17</f>
        <v>18</v>
      </c>
      <c r="G23" s="13">
        <f>C23+(F23-$C$13)*($C$14)</f>
        <v>854</v>
      </c>
      <c r="H23" s="50" t="s">
        <v>104</v>
      </c>
      <c r="J23" s="31"/>
      <c r="L23" s="24"/>
      <c r="N23" s="29">
        <v>9</v>
      </c>
      <c r="O23" s="30">
        <v>440.51401788605324</v>
      </c>
      <c r="P23" s="31">
        <f t="shared" si="12"/>
        <v>10.799999999999999</v>
      </c>
      <c r="Q23" s="13">
        <f t="shared" si="13"/>
        <v>367.09501490504437</v>
      </c>
      <c r="S23" s="32">
        <v>9</v>
      </c>
      <c r="T23" s="32">
        <v>305</v>
      </c>
      <c r="AG23" s="13"/>
      <c r="AH23" s="13"/>
      <c r="AI23" s="13"/>
      <c r="AK23" s="33"/>
      <c r="AL23" s="34"/>
      <c r="AM23" s="31"/>
      <c r="AN23" s="13"/>
      <c r="AP23">
        <v>0</v>
      </c>
      <c r="AQ23" s="13">
        <f t="shared" si="14"/>
        <v>0</v>
      </c>
      <c r="AS23" s="13"/>
      <c r="AT23" s="13"/>
    </row>
    <row r="24" spans="2:46" x14ac:dyDescent="0.25">
      <c r="B24" s="35">
        <v>1</v>
      </c>
      <c r="C24" s="13">
        <f>H18</f>
        <v>1409</v>
      </c>
      <c r="D24" s="13">
        <f>I18*I19/(I18+I19)</f>
        <v>71.161616161616152</v>
      </c>
      <c r="E24" s="31">
        <f>C24/D24</f>
        <v>19.800000000000004</v>
      </c>
      <c r="F24" s="31">
        <f>F23+E24</f>
        <v>37.800000000000004</v>
      </c>
      <c r="G24" s="13">
        <f>C24+(F24-$C$13)*($C$14)</f>
        <v>3470.8</v>
      </c>
      <c r="H24" s="51" t="s">
        <v>105</v>
      </c>
      <c r="L24" s="24"/>
      <c r="N24" s="29">
        <v>10</v>
      </c>
      <c r="O24" s="30">
        <v>540.63670743973478</v>
      </c>
      <c r="P24" s="31">
        <f t="shared" si="12"/>
        <v>12</v>
      </c>
      <c r="Q24" s="13">
        <f t="shared" si="13"/>
        <v>450.53058953311233</v>
      </c>
      <c r="S24" s="32">
        <v>10</v>
      </c>
      <c r="T24" s="32">
        <v>366</v>
      </c>
      <c r="AG24" s="13"/>
      <c r="AH24" s="13"/>
      <c r="AI24" s="13"/>
      <c r="AK24" s="33"/>
      <c r="AL24" s="34"/>
      <c r="AM24" s="31"/>
      <c r="AN24" s="13"/>
      <c r="AP24">
        <v>1</v>
      </c>
      <c r="AQ24" s="13">
        <f t="shared" si="14"/>
        <v>0</v>
      </c>
      <c r="AS24" s="13"/>
      <c r="AT24" s="13"/>
    </row>
    <row r="25" spans="2:46" x14ac:dyDescent="0.25">
      <c r="B25" s="35">
        <v>2</v>
      </c>
      <c r="C25" s="13">
        <f>H19</f>
        <v>1409</v>
      </c>
      <c r="D25" s="13">
        <f>I19</f>
        <v>142.3232323232323</v>
      </c>
      <c r="E25" s="31">
        <f>(C25-C24)/D25</f>
        <v>0</v>
      </c>
      <c r="F25" s="31">
        <f>F24+E25</f>
        <v>37.800000000000004</v>
      </c>
      <c r="G25" s="13">
        <f>C25+(F25-$C$13)*($C$14)</f>
        <v>3470.8</v>
      </c>
      <c r="H25" s="51" t="s">
        <v>106</v>
      </c>
      <c r="L25" s="24"/>
      <c r="N25" s="29">
        <v>11</v>
      </c>
      <c r="O25" s="30">
        <v>650.67899875349906</v>
      </c>
      <c r="P25" s="31">
        <f t="shared" si="12"/>
        <v>13.2</v>
      </c>
      <c r="Q25" s="13">
        <f t="shared" si="13"/>
        <v>542.23249896124923</v>
      </c>
      <c r="S25" s="32">
        <v>11</v>
      </c>
      <c r="T25" s="32">
        <v>427</v>
      </c>
      <c r="AG25" s="13"/>
      <c r="AH25" s="13"/>
      <c r="AI25" s="13"/>
      <c r="AK25" s="33"/>
      <c r="AL25" s="34"/>
      <c r="AM25" s="31"/>
      <c r="AN25" s="13"/>
      <c r="AP25">
        <v>2</v>
      </c>
      <c r="AQ25" s="13">
        <f t="shared" si="14"/>
        <v>0</v>
      </c>
      <c r="AS25" s="13"/>
      <c r="AT25" s="13"/>
    </row>
    <row r="26" spans="2:46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770.58786430606847</v>
      </c>
      <c r="P26" s="31">
        <f t="shared" si="12"/>
        <v>14.399999999999999</v>
      </c>
      <c r="Q26" s="13">
        <f t="shared" si="13"/>
        <v>642.15655358839047</v>
      </c>
      <c r="S26" s="32">
        <v>12</v>
      </c>
      <c r="T26" s="32">
        <v>488</v>
      </c>
      <c r="AG26" s="13"/>
      <c r="AH26" s="13"/>
      <c r="AI26" s="13"/>
      <c r="AK26" s="33"/>
      <c r="AL26" s="34"/>
      <c r="AM26" s="31"/>
      <c r="AN26" s="13"/>
      <c r="AP26">
        <v>3</v>
      </c>
      <c r="AQ26" s="13">
        <f t="shared" si="14"/>
        <v>0</v>
      </c>
      <c r="AS26" s="13"/>
      <c r="AT26" s="13"/>
    </row>
    <row r="27" spans="2:46" x14ac:dyDescent="0.25">
      <c r="N27" s="29">
        <v>13</v>
      </c>
      <c r="O27" s="30">
        <v>900.31515424226814</v>
      </c>
      <c r="P27" s="31">
        <f t="shared" si="12"/>
        <v>15.6</v>
      </c>
      <c r="Q27" s="13">
        <f t="shared" si="13"/>
        <v>750.26262853522348</v>
      </c>
      <c r="S27" s="32">
        <v>13</v>
      </c>
      <c r="T27" s="32">
        <v>549</v>
      </c>
      <c r="AG27" s="13"/>
      <c r="AH27" s="13"/>
      <c r="AI27" s="13"/>
      <c r="AK27" s="33"/>
      <c r="AL27" s="34"/>
      <c r="AM27" s="31"/>
      <c r="AN27" s="13"/>
      <c r="AP27">
        <v>4</v>
      </c>
      <c r="AQ27" s="13">
        <f t="shared" si="14"/>
        <v>0</v>
      </c>
      <c r="AS27" s="13"/>
      <c r="AT27" s="13"/>
    </row>
    <row r="28" spans="2:46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1039.8167916032178</v>
      </c>
      <c r="P28" s="31">
        <f t="shared" si="12"/>
        <v>16.8</v>
      </c>
      <c r="Q28" s="13">
        <f t="shared" si="13"/>
        <v>866.51399300268156</v>
      </c>
      <c r="S28" s="32">
        <v>14</v>
      </c>
      <c r="T28" s="32">
        <v>610</v>
      </c>
      <c r="AG28" s="13"/>
      <c r="AH28" s="13"/>
      <c r="AI28" s="13"/>
      <c r="AK28" s="33"/>
      <c r="AL28" s="34"/>
      <c r="AM28" s="31"/>
      <c r="AN28" s="13"/>
      <c r="AP28">
        <v>5</v>
      </c>
      <c r="AQ28" s="13">
        <f t="shared" si="14"/>
        <v>61</v>
      </c>
      <c r="AS28" s="13"/>
      <c r="AT28" s="13"/>
    </row>
    <row r="29" spans="2:46" x14ac:dyDescent="0.25">
      <c r="B29" s="23" t="s">
        <v>107</v>
      </c>
      <c r="L29" s="24"/>
      <c r="N29" s="29">
        <v>15</v>
      </c>
      <c r="O29" s="30">
        <v>1189.0521505008537</v>
      </c>
      <c r="P29" s="31">
        <f t="shared" si="12"/>
        <v>18</v>
      </c>
      <c r="Q29" s="13">
        <f t="shared" si="13"/>
        <v>990.87679208404484</v>
      </c>
      <c r="S29" s="32">
        <v>15</v>
      </c>
      <c r="T29" s="32">
        <v>671</v>
      </c>
      <c r="AG29" s="13"/>
      <c r="AH29" s="13"/>
      <c r="AI29" s="13"/>
      <c r="AK29" s="33"/>
      <c r="AL29" s="34"/>
      <c r="AM29" s="31"/>
      <c r="AN29" s="13"/>
      <c r="AP29">
        <v>6</v>
      </c>
      <c r="AQ29" s="13">
        <f t="shared" si="14"/>
        <v>122</v>
      </c>
      <c r="AS29" s="13"/>
      <c r="AT29" s="13"/>
    </row>
    <row r="30" spans="2:46" x14ac:dyDescent="0.25">
      <c r="B30" s="23" t="s">
        <v>121</v>
      </c>
      <c r="L30" s="24"/>
      <c r="N30" s="29">
        <v>16</v>
      </c>
      <c r="O30" s="30">
        <v>1347.9835658019538</v>
      </c>
      <c r="P30" s="31">
        <f t="shared" si="12"/>
        <v>19.2</v>
      </c>
      <c r="Q30" s="13">
        <f t="shared" si="13"/>
        <v>1123.3196381682949</v>
      </c>
      <c r="S30" s="32">
        <v>16</v>
      </c>
      <c r="T30" s="32">
        <v>780.15151515151501</v>
      </c>
      <c r="AG30" s="13"/>
      <c r="AH30" s="13"/>
      <c r="AI30" s="13"/>
      <c r="AK30" s="33"/>
      <c r="AL30" s="34"/>
      <c r="AM30" s="31"/>
      <c r="AN30" s="13"/>
      <c r="AP30">
        <v>7</v>
      </c>
      <c r="AQ30" s="13">
        <f t="shared" si="14"/>
        <v>183</v>
      </c>
      <c r="AS30" s="13"/>
      <c r="AT30" s="13"/>
    </row>
    <row r="31" spans="2:46" x14ac:dyDescent="0.25">
      <c r="B31" s="23" t="s">
        <v>108</v>
      </c>
      <c r="L31" s="24"/>
      <c r="N31" s="29">
        <v>17</v>
      </c>
      <c r="O31" s="30">
        <v>1516.5759397618228</v>
      </c>
      <c r="P31" s="31">
        <f t="shared" si="12"/>
        <v>20.399999999999999</v>
      </c>
      <c r="Q31" s="13">
        <f t="shared" si="13"/>
        <v>1263.8132831348523</v>
      </c>
      <c r="S31" s="32">
        <v>17</v>
      </c>
      <c r="T31" s="32">
        <v>903.57575757575705</v>
      </c>
      <c r="AG31" s="13"/>
      <c r="AH31" s="13"/>
      <c r="AI31" s="13"/>
      <c r="AK31" s="33"/>
      <c r="AL31" s="34"/>
      <c r="AM31" s="31"/>
      <c r="AN31" s="13"/>
      <c r="AP31">
        <v>8</v>
      </c>
      <c r="AQ31" s="13">
        <f t="shared" si="14"/>
        <v>244</v>
      </c>
      <c r="AS31" s="13"/>
      <c r="AT31" s="13"/>
    </row>
    <row r="32" spans="2:46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1694.7964216897499</v>
      </c>
      <c r="P32" s="31">
        <f t="shared" si="12"/>
        <v>21.599999999999998</v>
      </c>
      <c r="Q32" s="13">
        <f t="shared" si="13"/>
        <v>1412.3303514081249</v>
      </c>
      <c r="S32" s="32">
        <v>18</v>
      </c>
      <c r="T32" s="32">
        <v>1027</v>
      </c>
      <c r="AG32" s="13"/>
      <c r="AH32" s="13"/>
      <c r="AI32" s="13"/>
      <c r="AK32" s="33"/>
      <c r="AL32" s="34"/>
      <c r="AM32" s="31"/>
      <c r="AN32" s="13"/>
      <c r="AP32">
        <v>9</v>
      </c>
      <c r="AQ32" s="13">
        <f t="shared" si="14"/>
        <v>305</v>
      </c>
      <c r="AS32" s="13"/>
      <c r="AT32" s="13"/>
    </row>
    <row r="33" spans="2:46" x14ac:dyDescent="0.25">
      <c r="B33" s="35"/>
      <c r="G33" s="36"/>
      <c r="L33" s="24"/>
      <c r="N33" s="29">
        <v>19</v>
      </c>
      <c r="O33" s="30">
        <v>1882.6141436676132</v>
      </c>
      <c r="P33" s="31">
        <f t="shared" si="12"/>
        <v>22.8</v>
      </c>
      <c r="Q33" s="13">
        <f t="shared" si="13"/>
        <v>1568.8451197230111</v>
      </c>
      <c r="S33" s="32">
        <v>19</v>
      </c>
      <c r="T33" s="32">
        <v>1150.42424242424</v>
      </c>
      <c r="AG33" s="13"/>
      <c r="AH33" s="13"/>
      <c r="AI33" s="13"/>
      <c r="AK33" s="33"/>
      <c r="AL33" s="34"/>
      <c r="AM33" s="31"/>
      <c r="AN33" s="13"/>
      <c r="AP33">
        <v>10</v>
      </c>
      <c r="AQ33" s="13">
        <f t="shared" si="14"/>
        <v>366</v>
      </c>
      <c r="AS33" s="13"/>
      <c r="AT33" s="13"/>
    </row>
    <row r="34" spans="2:46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2080</v>
      </c>
      <c r="P34" s="31">
        <f t="shared" si="12"/>
        <v>24</v>
      </c>
      <c r="Q34" s="13">
        <f t="shared" si="13"/>
        <v>1733.3333333333335</v>
      </c>
      <c r="S34" s="32">
        <v>20</v>
      </c>
      <c r="T34" s="32">
        <v>1273.84848484849</v>
      </c>
      <c r="AG34" s="13"/>
      <c r="AH34" s="13"/>
      <c r="AI34" s="13"/>
      <c r="AK34" s="33"/>
      <c r="AL34" s="34"/>
      <c r="AM34" s="31"/>
      <c r="AN34" s="13"/>
      <c r="AP34">
        <v>11</v>
      </c>
      <c r="AQ34" s="13">
        <f t="shared" si="14"/>
        <v>427</v>
      </c>
      <c r="AS34" s="13"/>
      <c r="AT34" s="13"/>
    </row>
    <row r="35" spans="2:46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/>
      <c r="P35" s="31"/>
      <c r="Q35" s="13"/>
      <c r="S35" s="32">
        <v>21</v>
      </c>
      <c r="T35" s="32">
        <v>1397.27272727273</v>
      </c>
      <c r="AG35" s="13"/>
      <c r="AH35" s="13"/>
      <c r="AI35" s="13"/>
      <c r="AK35" s="33"/>
      <c r="AL35" s="34"/>
      <c r="AM35" s="31"/>
      <c r="AN35" s="13"/>
      <c r="AP35">
        <v>12</v>
      </c>
      <c r="AQ35" s="13">
        <f t="shared" si="14"/>
        <v>488</v>
      </c>
      <c r="AS35" s="13"/>
      <c r="AT35" s="13"/>
    </row>
    <row r="36" spans="2:46" x14ac:dyDescent="0.25">
      <c r="B36" s="35"/>
      <c r="L36" s="24"/>
      <c r="N36" s="29">
        <v>22</v>
      </c>
      <c r="O36" s="30"/>
      <c r="P36" s="31"/>
      <c r="Q36" s="13"/>
      <c r="S36" s="32">
        <v>22</v>
      </c>
      <c r="T36" s="32">
        <v>1520.69696969697</v>
      </c>
      <c r="AG36" s="13"/>
      <c r="AH36" s="13"/>
      <c r="AI36" s="13"/>
      <c r="AK36" s="33"/>
      <c r="AL36" s="34"/>
      <c r="AM36" s="31"/>
      <c r="AN36" s="13"/>
      <c r="AP36">
        <v>13</v>
      </c>
      <c r="AQ36" s="13">
        <f t="shared" si="14"/>
        <v>549</v>
      </c>
      <c r="AS36" s="13"/>
      <c r="AT36" s="13"/>
    </row>
    <row r="37" spans="2:46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/>
      <c r="P37" s="31"/>
      <c r="Q37" s="13"/>
      <c r="S37" s="32">
        <v>23</v>
      </c>
      <c r="T37" s="32">
        <v>1644.12121212121</v>
      </c>
      <c r="AG37" s="13"/>
      <c r="AH37" s="13"/>
      <c r="AI37" s="13"/>
      <c r="AK37" s="33"/>
      <c r="AL37" s="34"/>
      <c r="AM37" s="31"/>
      <c r="AN37" s="13"/>
      <c r="AP37">
        <v>14</v>
      </c>
      <c r="AQ37" s="13">
        <f t="shared" si="14"/>
        <v>610</v>
      </c>
      <c r="AS37" s="13"/>
      <c r="AT37" s="13"/>
    </row>
    <row r="38" spans="2:46" x14ac:dyDescent="0.25">
      <c r="B38" s="35"/>
      <c r="G38" s="13"/>
      <c r="L38" s="24"/>
      <c r="N38" s="29">
        <v>24</v>
      </c>
      <c r="O38" s="30"/>
      <c r="P38" s="31"/>
      <c r="Q38" s="13"/>
      <c r="S38" s="32">
        <v>24</v>
      </c>
      <c r="T38" s="32">
        <v>1767.54545454545</v>
      </c>
      <c r="AG38" s="13"/>
      <c r="AH38" s="13"/>
      <c r="AI38" s="13"/>
      <c r="AK38" s="33"/>
      <c r="AL38" s="34"/>
      <c r="AM38" s="31"/>
      <c r="AN38" s="13"/>
      <c r="AP38">
        <v>15</v>
      </c>
      <c r="AQ38" s="13">
        <f t="shared" si="14"/>
        <v>671</v>
      </c>
      <c r="AS38" s="13"/>
      <c r="AT38" s="13"/>
    </row>
    <row r="39" spans="2:46" x14ac:dyDescent="0.25">
      <c r="B39" s="35"/>
      <c r="G39" s="13"/>
      <c r="J39" s="31"/>
      <c r="L39" s="24"/>
      <c r="N39" s="29">
        <v>25</v>
      </c>
      <c r="O39" s="30"/>
      <c r="P39" s="31"/>
      <c r="Q39" s="13"/>
      <c r="S39" s="44">
        <v>25</v>
      </c>
      <c r="T39" s="32">
        <v>1890.9696969697</v>
      </c>
      <c r="AE39" s="13"/>
      <c r="AF39" s="13"/>
      <c r="AG39" s="13"/>
      <c r="AH39" s="13"/>
      <c r="AI39" s="13"/>
      <c r="AK39" s="33"/>
      <c r="AL39" s="34"/>
      <c r="AM39" s="31"/>
      <c r="AN39" s="13"/>
      <c r="AP39">
        <v>16</v>
      </c>
      <c r="AQ39" s="13">
        <f t="shared" si="14"/>
        <v>732</v>
      </c>
      <c r="AS39" s="13"/>
      <c r="AT39" s="13"/>
    </row>
    <row r="40" spans="2:46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/>
      <c r="P40" s="31"/>
      <c r="Q40" s="13"/>
      <c r="S40" s="44">
        <v>26</v>
      </c>
      <c r="T40" s="32">
        <v>2014.3939393939399</v>
      </c>
      <c r="AE40" s="13"/>
      <c r="AF40" s="13"/>
      <c r="AG40" s="13"/>
      <c r="AH40" s="13"/>
      <c r="AI40" s="13"/>
      <c r="AK40" s="33"/>
      <c r="AL40" s="34"/>
      <c r="AM40" s="31"/>
      <c r="AN40" s="13"/>
      <c r="AP40">
        <v>17</v>
      </c>
      <c r="AQ40" s="13">
        <f t="shared" si="14"/>
        <v>793</v>
      </c>
      <c r="AS40" s="13"/>
      <c r="AT40" s="13"/>
    </row>
    <row r="41" spans="2:46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/>
      <c r="P41" s="31"/>
      <c r="Q41" s="13"/>
      <c r="S41" s="44">
        <v>27</v>
      </c>
      <c r="T41" s="32">
        <v>2137.8181818181802</v>
      </c>
      <c r="AE41" s="13"/>
      <c r="AF41" s="13"/>
      <c r="AG41" s="13"/>
      <c r="AH41" s="13"/>
      <c r="AI41" s="13"/>
      <c r="AK41" s="33"/>
      <c r="AL41" s="34"/>
      <c r="AM41" s="31"/>
      <c r="AN41" s="13"/>
      <c r="AP41">
        <v>18</v>
      </c>
      <c r="AQ41" s="13">
        <f t="shared" si="14"/>
        <v>854</v>
      </c>
      <c r="AS41" s="13"/>
      <c r="AT41" s="13"/>
    </row>
    <row r="42" spans="2:46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/>
      <c r="P42" s="31"/>
      <c r="Q42" s="13"/>
      <c r="S42" s="44">
        <v>28</v>
      </c>
      <c r="T42" s="32">
        <v>2261.2424242424199</v>
      </c>
      <c r="AE42" s="13"/>
      <c r="AF42" s="13"/>
      <c r="AG42" s="13"/>
      <c r="AH42" s="13"/>
      <c r="AI42" s="13"/>
      <c r="AK42" s="33"/>
      <c r="AL42" s="34"/>
      <c r="AM42" s="31"/>
      <c r="AN42" s="13"/>
      <c r="AP42">
        <v>19</v>
      </c>
      <c r="AQ42" s="13">
        <f t="shared" si="14"/>
        <v>915</v>
      </c>
      <c r="AS42" s="13"/>
      <c r="AT42" s="13"/>
    </row>
    <row r="43" spans="2:46" x14ac:dyDescent="0.25">
      <c r="N43" s="29">
        <v>29</v>
      </c>
      <c r="O43" s="30"/>
      <c r="P43" s="31"/>
      <c r="Q43" s="13"/>
      <c r="S43" s="44">
        <v>29</v>
      </c>
      <c r="T43" s="32">
        <v>2384.6666666666702</v>
      </c>
      <c r="AE43" s="13"/>
      <c r="AF43" s="13"/>
      <c r="AG43" s="13"/>
      <c r="AH43" s="13"/>
      <c r="AI43" s="13"/>
      <c r="AK43" s="33"/>
      <c r="AL43" s="34"/>
      <c r="AM43" s="31"/>
      <c r="AN43" s="13"/>
      <c r="AP43">
        <v>20</v>
      </c>
      <c r="AQ43" s="13">
        <f t="shared" si="14"/>
        <v>976</v>
      </c>
      <c r="AS43" s="13"/>
      <c r="AT43" s="13"/>
    </row>
    <row r="44" spans="2:46" x14ac:dyDescent="0.25">
      <c r="N44" s="29">
        <v>30</v>
      </c>
      <c r="O44" s="30"/>
      <c r="P44" s="31"/>
      <c r="Q44" s="13"/>
      <c r="S44" s="44">
        <v>30</v>
      </c>
      <c r="T44" s="32">
        <v>2508.0909090909099</v>
      </c>
      <c r="AE44" s="13"/>
      <c r="AF44" s="13"/>
      <c r="AG44" s="13"/>
      <c r="AH44" s="13"/>
      <c r="AI44" s="13"/>
      <c r="AK44" s="33"/>
      <c r="AL44" s="34"/>
      <c r="AM44" s="31"/>
      <c r="AN44" s="13"/>
      <c r="AP44">
        <v>21</v>
      </c>
      <c r="AQ44" s="13">
        <f t="shared" si="14"/>
        <v>1037</v>
      </c>
    </row>
    <row r="45" spans="2:46" x14ac:dyDescent="0.25">
      <c r="N45" s="29">
        <v>31</v>
      </c>
      <c r="O45" s="30"/>
      <c r="P45" s="31"/>
      <c r="Q45" s="13"/>
      <c r="S45" s="44">
        <v>31</v>
      </c>
      <c r="T45" s="32">
        <v>2631.5151515151501</v>
      </c>
      <c r="AE45" s="13"/>
      <c r="AF45" s="13"/>
      <c r="AG45" s="13"/>
      <c r="AH45" s="13"/>
      <c r="AI45" s="13"/>
      <c r="AK45" s="33"/>
      <c r="AL45" s="34"/>
      <c r="AM45" s="31"/>
      <c r="AN45" s="13"/>
      <c r="AP45">
        <v>22</v>
      </c>
      <c r="AQ45" s="13">
        <f t="shared" si="14"/>
        <v>1098</v>
      </c>
    </row>
    <row r="46" spans="2:46" x14ac:dyDescent="0.25">
      <c r="N46" s="29">
        <v>32</v>
      </c>
      <c r="O46" s="30"/>
      <c r="P46" s="31"/>
      <c r="Q46" s="13"/>
      <c r="S46" s="44">
        <v>32</v>
      </c>
      <c r="T46" s="32">
        <v>2754.9393939393899</v>
      </c>
      <c r="AE46" s="13"/>
      <c r="AF46" s="13"/>
      <c r="AG46" s="13"/>
      <c r="AH46" s="13"/>
      <c r="AI46" s="13"/>
      <c r="AK46" s="33"/>
      <c r="AL46" s="34"/>
      <c r="AM46" s="31"/>
      <c r="AN46" s="13"/>
      <c r="AP46">
        <v>23</v>
      </c>
      <c r="AQ46" s="13">
        <f t="shared" si="14"/>
        <v>1159</v>
      </c>
    </row>
    <row r="47" spans="2:46" x14ac:dyDescent="0.25">
      <c r="N47" s="29">
        <v>33</v>
      </c>
      <c r="O47" s="30"/>
      <c r="P47" s="31"/>
      <c r="Q47" s="13"/>
      <c r="S47" s="44">
        <v>33</v>
      </c>
      <c r="T47" s="32">
        <v>2878.3636363636401</v>
      </c>
      <c r="AE47" s="13"/>
      <c r="AF47" s="13"/>
      <c r="AG47" s="13"/>
      <c r="AH47" s="13"/>
      <c r="AI47" s="13"/>
      <c r="AK47" s="33"/>
      <c r="AL47" s="34"/>
      <c r="AM47" s="31"/>
      <c r="AN47" s="13"/>
      <c r="AP47">
        <v>24</v>
      </c>
      <c r="AQ47" s="13">
        <f t="shared" si="14"/>
        <v>1220</v>
      </c>
    </row>
    <row r="48" spans="2:46" x14ac:dyDescent="0.25">
      <c r="N48" s="29">
        <v>34</v>
      </c>
      <c r="O48" s="30"/>
      <c r="P48" s="31"/>
      <c r="Q48" s="13"/>
      <c r="S48" s="44">
        <v>34</v>
      </c>
      <c r="T48" s="32">
        <v>3001.7878787878799</v>
      </c>
      <c r="AE48" s="13"/>
      <c r="AF48" s="13"/>
      <c r="AG48" s="13"/>
      <c r="AH48" s="13"/>
      <c r="AI48" s="13"/>
      <c r="AK48" s="33"/>
      <c r="AL48" s="34"/>
      <c r="AM48" s="31"/>
      <c r="AN48" s="13"/>
      <c r="AP48">
        <v>25</v>
      </c>
      <c r="AQ48" s="13">
        <f t="shared" si="14"/>
        <v>1281</v>
      </c>
    </row>
    <row r="49" spans="14:43" x14ac:dyDescent="0.25">
      <c r="N49" s="29">
        <v>35</v>
      </c>
      <c r="O49" s="30"/>
      <c r="P49" s="31"/>
      <c r="Q49" s="13"/>
      <c r="S49" s="44">
        <v>35</v>
      </c>
      <c r="T49" s="32">
        <v>3125.2121212121201</v>
      </c>
      <c r="AE49" s="13"/>
      <c r="AF49" s="13"/>
      <c r="AG49" s="13"/>
      <c r="AH49" s="13"/>
      <c r="AI49" s="13"/>
      <c r="AK49" s="33"/>
      <c r="AL49" s="34"/>
      <c r="AM49" s="31"/>
      <c r="AN49" s="13"/>
      <c r="AP49">
        <v>26</v>
      </c>
      <c r="AQ49" s="13">
        <f t="shared" si="14"/>
        <v>1342</v>
      </c>
    </row>
    <row r="50" spans="14:43" x14ac:dyDescent="0.25">
      <c r="N50" s="29">
        <v>36</v>
      </c>
      <c r="O50" s="30"/>
      <c r="P50" s="31"/>
      <c r="Q50" s="13"/>
      <c r="S50" s="44">
        <v>36</v>
      </c>
      <c r="T50" s="32">
        <v>3248.6363636363599</v>
      </c>
      <c r="AE50" s="13"/>
      <c r="AF50" s="13"/>
      <c r="AG50" s="13"/>
      <c r="AH50" s="13"/>
      <c r="AI50" s="13"/>
      <c r="AK50" s="33"/>
      <c r="AL50" s="34"/>
      <c r="AM50" s="31"/>
      <c r="AN50" s="13"/>
      <c r="AP50">
        <v>27</v>
      </c>
      <c r="AQ50" s="13">
        <f t="shared" si="14"/>
        <v>1403</v>
      </c>
    </row>
    <row r="51" spans="14:43" x14ac:dyDescent="0.25">
      <c r="N51" s="29">
        <v>37</v>
      </c>
      <c r="O51" s="30"/>
      <c r="P51" s="52"/>
      <c r="Q51" s="53"/>
      <c r="S51" s="44">
        <v>37</v>
      </c>
      <c r="T51" s="32">
        <v>3372.0606060606101</v>
      </c>
      <c r="AE51" s="13"/>
      <c r="AF51" s="13"/>
      <c r="AG51" s="13"/>
      <c r="AK51" s="33"/>
      <c r="AL51" s="34"/>
      <c r="AM51" s="31"/>
      <c r="AN51" s="13"/>
      <c r="AP51">
        <v>28</v>
      </c>
      <c r="AQ51" s="13">
        <f t="shared" si="14"/>
        <v>1464</v>
      </c>
    </row>
    <row r="52" spans="14:43" x14ac:dyDescent="0.25">
      <c r="N52" s="29">
        <v>38</v>
      </c>
      <c r="O52" s="30"/>
      <c r="P52" s="31"/>
      <c r="Q52" s="13"/>
      <c r="S52" s="44">
        <v>38</v>
      </c>
      <c r="T52" s="32">
        <v>3507.1598947676098</v>
      </c>
      <c r="AK52" s="33"/>
      <c r="AL52" s="34"/>
      <c r="AM52" s="31"/>
      <c r="AN52" s="13"/>
      <c r="AP52">
        <v>29</v>
      </c>
      <c r="AQ52" s="13">
        <f t="shared" si="14"/>
        <v>1525</v>
      </c>
    </row>
    <row r="53" spans="14:43" x14ac:dyDescent="0.25">
      <c r="N53" s="29">
        <v>39</v>
      </c>
      <c r="O53" s="30"/>
      <c r="P53" s="31"/>
      <c r="Q53" s="13"/>
      <c r="S53" s="44">
        <v>39</v>
      </c>
      <c r="T53" s="32">
        <v>3664.5059923998801</v>
      </c>
      <c r="AK53" s="33"/>
      <c r="AL53" s="34"/>
      <c r="AM53" s="31"/>
      <c r="AN53" s="13"/>
      <c r="AP53">
        <v>30</v>
      </c>
      <c r="AQ53" s="13">
        <f t="shared" si="14"/>
        <v>1586</v>
      </c>
    </row>
    <row r="54" spans="14:43" x14ac:dyDescent="0.25">
      <c r="N54" s="29">
        <v>40</v>
      </c>
      <c r="O54" s="30"/>
      <c r="P54" s="31"/>
      <c r="Q54" s="13"/>
      <c r="S54" s="44">
        <v>40</v>
      </c>
      <c r="T54" s="32">
        <v>3821.85209003215</v>
      </c>
      <c r="AK54" s="33"/>
      <c r="AL54" s="34"/>
      <c r="AQ54" s="13"/>
    </row>
    <row r="55" spans="14:43" x14ac:dyDescent="0.25">
      <c r="N55" s="29">
        <v>41</v>
      </c>
      <c r="O55" s="30"/>
      <c r="P55" s="31"/>
      <c r="Q55" s="13"/>
      <c r="S55" s="44">
        <v>41</v>
      </c>
      <c r="T55" s="32"/>
      <c r="AK55" s="33"/>
      <c r="AL55" s="34"/>
      <c r="AQ55" s="13"/>
    </row>
    <row r="56" spans="14:43" x14ac:dyDescent="0.25">
      <c r="N56" s="29">
        <v>42</v>
      </c>
      <c r="O56" s="30"/>
      <c r="P56" s="31"/>
      <c r="Q56" s="13"/>
      <c r="S56" s="44">
        <v>42</v>
      </c>
      <c r="T56" s="32"/>
      <c r="AK56" s="33"/>
      <c r="AL56" s="34"/>
      <c r="AQ56" s="13"/>
    </row>
    <row r="57" spans="14:43" x14ac:dyDescent="0.25">
      <c r="N57" s="29">
        <v>43</v>
      </c>
      <c r="O57" s="30"/>
      <c r="P57" s="48"/>
      <c r="Q57" s="46"/>
      <c r="S57" s="44">
        <v>43</v>
      </c>
      <c r="T57" s="32"/>
      <c r="AK57" s="33"/>
      <c r="AL57" s="34"/>
      <c r="AQ57" s="13"/>
    </row>
    <row r="58" spans="14:43" x14ac:dyDescent="0.25">
      <c r="N58" s="29">
        <v>44</v>
      </c>
      <c r="O58" s="30"/>
      <c r="P58" s="31"/>
      <c r="Q58" s="13"/>
      <c r="S58" s="44">
        <v>44</v>
      </c>
      <c r="T58" s="32"/>
      <c r="AK58" s="33"/>
      <c r="AL58" s="34"/>
      <c r="AQ58" s="13"/>
    </row>
    <row r="59" spans="14:43" x14ac:dyDescent="0.25">
      <c r="N59" s="29">
        <v>45</v>
      </c>
      <c r="O59" s="30"/>
      <c r="P59" s="52"/>
      <c r="Q59" s="53"/>
      <c r="S59" s="44">
        <v>45</v>
      </c>
      <c r="T59" s="32"/>
      <c r="AK59" s="33"/>
      <c r="AL59" s="34"/>
      <c r="AQ59" s="13"/>
    </row>
    <row r="60" spans="14:43" x14ac:dyDescent="0.25">
      <c r="N60" s="29">
        <v>46</v>
      </c>
      <c r="O60" s="30"/>
      <c r="P60" s="31"/>
      <c r="Q60" s="13"/>
      <c r="S60" s="44"/>
      <c r="T60" s="32"/>
      <c r="AK60" s="33"/>
      <c r="AL60" s="34"/>
      <c r="AQ60" s="13"/>
    </row>
    <row r="61" spans="14:43" x14ac:dyDescent="0.25">
      <c r="N61" s="29">
        <v>47</v>
      </c>
      <c r="O61" s="30"/>
      <c r="P61" s="31"/>
      <c r="Q61" s="13"/>
      <c r="S61" s="44"/>
      <c r="T61" s="32"/>
      <c r="AK61" s="33"/>
      <c r="AL61" s="34"/>
      <c r="AQ61" s="13"/>
    </row>
    <row r="62" spans="14:43" x14ac:dyDescent="0.25">
      <c r="N62" s="29">
        <v>48</v>
      </c>
      <c r="O62" s="30"/>
      <c r="P62" s="31"/>
      <c r="Q62" s="13"/>
      <c r="S62" s="44"/>
      <c r="T62" s="32"/>
      <c r="AK62" s="33"/>
      <c r="AL62" s="34"/>
      <c r="AQ62" s="13"/>
    </row>
    <row r="63" spans="14:43" x14ac:dyDescent="0.25">
      <c r="N63" s="29">
        <v>49</v>
      </c>
      <c r="O63" s="30"/>
      <c r="P63" s="31"/>
      <c r="Q63" s="13"/>
      <c r="S63" s="44"/>
      <c r="T63" s="32"/>
      <c r="AK63" s="33"/>
      <c r="AL63" s="34"/>
      <c r="AQ63" s="13"/>
    </row>
    <row r="64" spans="14:43" x14ac:dyDescent="0.25">
      <c r="N64" s="29">
        <v>50</v>
      </c>
      <c r="O64" s="30"/>
      <c r="P64" s="31"/>
      <c r="Q64" s="13"/>
      <c r="S64" s="44"/>
      <c r="T64" s="32"/>
      <c r="AQ64" s="13"/>
    </row>
    <row r="65" spans="43:43" x14ac:dyDescent="0.25">
      <c r="AQ65" s="13"/>
    </row>
    <row r="66" spans="43:43" x14ac:dyDescent="0.25">
      <c r="AQ66" s="13"/>
    </row>
    <row r="67" spans="43:43" x14ac:dyDescent="0.25">
      <c r="AQ67" s="13"/>
    </row>
    <row r="68" spans="43:43" x14ac:dyDescent="0.25">
      <c r="AQ68" s="13"/>
    </row>
    <row r="69" spans="43:43" x14ac:dyDescent="0.25">
      <c r="AQ69" s="13"/>
    </row>
    <row r="70" spans="43:43" x14ac:dyDescent="0.25">
      <c r="AQ70" s="13"/>
    </row>
    <row r="71" spans="43:43" x14ac:dyDescent="0.25">
      <c r="AQ71" s="13"/>
    </row>
    <row r="72" spans="43:43" x14ac:dyDescent="0.25">
      <c r="AQ72" s="13"/>
    </row>
    <row r="73" spans="43:43" x14ac:dyDescent="0.25">
      <c r="AQ73" s="13"/>
    </row>
  </sheetData>
  <mergeCells count="4">
    <mergeCell ref="J2:N2"/>
    <mergeCell ref="O2:S2"/>
    <mergeCell ref="T2:X2"/>
    <mergeCell ref="Y2:AC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0C74-7025-499C-8075-466C2D734AE4}">
  <sheetPr>
    <tabColor rgb="FFFFFF00"/>
  </sheetPr>
  <dimension ref="B1:AT73"/>
  <sheetViews>
    <sheetView topLeftCell="E1" zoomScale="85" zoomScaleNormal="85" workbookViewId="0"/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4" width="9.7109375" customWidth="1"/>
    <col min="39" max="39" width="11.42578125" bestFit="1" customWidth="1"/>
  </cols>
  <sheetData>
    <row r="1" spans="2:46" ht="15.75" thickBot="1" x14ac:dyDescent="0.3"/>
    <row r="2" spans="2:46" ht="15.75" thickBot="1" x14ac:dyDescent="0.3">
      <c r="B2" s="1" t="s">
        <v>0</v>
      </c>
      <c r="J2" s="149" t="s">
        <v>122</v>
      </c>
      <c r="K2" s="150"/>
      <c r="L2" s="150"/>
      <c r="M2" s="150"/>
      <c r="N2" s="151"/>
      <c r="O2" s="149" t="s">
        <v>123</v>
      </c>
      <c r="P2" s="150"/>
      <c r="Q2" s="150"/>
      <c r="R2" s="150"/>
      <c r="S2" s="151"/>
      <c r="T2" s="149" t="s">
        <v>124</v>
      </c>
      <c r="U2" s="150"/>
      <c r="V2" s="150"/>
      <c r="W2" s="150"/>
      <c r="X2" s="151"/>
      <c r="Y2" s="149" t="s">
        <v>125</v>
      </c>
      <c r="Z2" s="150"/>
      <c r="AA2" s="150"/>
      <c r="AB2" s="150"/>
      <c r="AC2" s="151"/>
    </row>
    <row r="3" spans="2:46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3" t="s">
        <v>14</v>
      </c>
      <c r="AE3" s="57" t="s">
        <v>15</v>
      </c>
      <c r="AF3" s="58" t="s">
        <v>16</v>
      </c>
      <c r="AG3" s="58" t="s">
        <v>17</v>
      </c>
      <c r="AH3" s="59" t="s">
        <v>18</v>
      </c>
      <c r="AJ3" t="s">
        <v>10</v>
      </c>
      <c r="AO3" t="s">
        <v>19</v>
      </c>
    </row>
    <row r="4" spans="2:46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>
        <f>Z4/Y4</f>
        <v>2621.1111111111109</v>
      </c>
      <c r="AJ4" s="13">
        <f>K4</f>
        <v>790.5</v>
      </c>
      <c r="AK4" s="13">
        <f>P4</f>
        <v>1409</v>
      </c>
      <c r="AL4" s="13">
        <f>U4</f>
        <v>1913</v>
      </c>
      <c r="AM4" s="13">
        <f>Z4</f>
        <v>2359</v>
      </c>
      <c r="AO4" s="14">
        <f>J4</f>
        <v>0.22500000000000001</v>
      </c>
      <c r="AP4" s="14">
        <f>O4</f>
        <v>0.45</v>
      </c>
      <c r="AQ4" s="14">
        <f>T4</f>
        <v>0.67500000000000004</v>
      </c>
      <c r="AR4" s="14">
        <f>Y4</f>
        <v>0.9</v>
      </c>
    </row>
    <row r="5" spans="2:46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>
        <v>3721.9047619047619</v>
      </c>
      <c r="AJ5" s="13">
        <f t="shared" ref="AJ5" si="0">K5</f>
        <v>1291</v>
      </c>
      <c r="AK5" s="13">
        <f t="shared" ref="AK5" si="1">P5</f>
        <v>2313</v>
      </c>
      <c r="AL5" s="13">
        <f t="shared" ref="AL5" si="2">U5</f>
        <v>3155</v>
      </c>
      <c r="AM5" s="13">
        <f t="shared" ref="AM5" si="3">Z5</f>
        <v>3908</v>
      </c>
      <c r="AO5" s="14">
        <f t="shared" ref="AO5" si="4">J5</f>
        <v>0.26200000000000001</v>
      </c>
      <c r="AP5" s="14">
        <f t="shared" ref="AP5" si="5">O5</f>
        <v>0.52500000000000002</v>
      </c>
      <c r="AQ5" s="14">
        <f t="shared" ref="AQ5" si="6">T5</f>
        <v>0.78700000000000003</v>
      </c>
      <c r="AR5" s="14">
        <f t="shared" ref="AR5" si="7">Y5</f>
        <v>1.05</v>
      </c>
    </row>
    <row r="6" spans="2:46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>
        <f>Z6/Y6</f>
        <v>5981.8181818181811</v>
      </c>
      <c r="AJ6" s="13">
        <f>K6</f>
        <v>1972</v>
      </c>
      <c r="AK6" s="13">
        <f>P6</f>
        <v>3663</v>
      </c>
      <c r="AL6" s="13">
        <f>U6</f>
        <v>5169</v>
      </c>
      <c r="AM6" s="13">
        <f>Z6</f>
        <v>6580</v>
      </c>
      <c r="AO6" s="14">
        <f>J6</f>
        <v>0.27500000000000002</v>
      </c>
      <c r="AP6" s="14">
        <f>O6</f>
        <v>0.55000000000000004</v>
      </c>
      <c r="AQ6" s="14">
        <f>T6</f>
        <v>0.82499999999999996</v>
      </c>
      <c r="AR6" s="14">
        <f>Y6</f>
        <v>1.1000000000000001</v>
      </c>
    </row>
    <row r="7" spans="2:46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>
        <f>Z7/Y7</f>
        <v>8821.176470588236</v>
      </c>
      <c r="AJ7" s="13">
        <f>K7</f>
        <v>2097</v>
      </c>
      <c r="AK7" s="13">
        <f>P7</f>
        <v>4003</v>
      </c>
      <c r="AL7" s="13">
        <f>U7</f>
        <v>5783</v>
      </c>
      <c r="AM7" s="13">
        <f>Z7</f>
        <v>7498</v>
      </c>
      <c r="AO7" s="14">
        <f>J7</f>
        <v>0.21199999999999999</v>
      </c>
      <c r="AP7" s="14">
        <f>O7</f>
        <v>0.42499999999999999</v>
      </c>
      <c r="AQ7" s="14">
        <f>T7</f>
        <v>0.63700000000000001</v>
      </c>
      <c r="AR7" s="14">
        <f>Y7</f>
        <v>0.85</v>
      </c>
    </row>
    <row r="8" spans="2:46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>
        <f t="shared" ref="AH8" si="11">Z8/Y8</f>
        <v>10738.666666666666</v>
      </c>
      <c r="AJ8" s="13">
        <f>K8</f>
        <v>2199</v>
      </c>
      <c r="AK8" s="13">
        <f>P8</f>
        <v>4239</v>
      </c>
      <c r="AL8" s="13">
        <f>U8</f>
        <v>6173</v>
      </c>
      <c r="AM8" s="13">
        <f>Z8</f>
        <v>8054</v>
      </c>
      <c r="AO8" s="14">
        <f>J8</f>
        <v>0.187</v>
      </c>
      <c r="AP8" s="14">
        <f>O8</f>
        <v>0.375</v>
      </c>
      <c r="AQ8" s="14">
        <f>T8</f>
        <v>0.56200000000000006</v>
      </c>
      <c r="AR8" s="14">
        <f>Y8</f>
        <v>0.75</v>
      </c>
    </row>
    <row r="9" spans="2:4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</row>
    <row r="10" spans="2:46" x14ac:dyDescent="0.25">
      <c r="N10" s="15" t="s">
        <v>71</v>
      </c>
      <c r="O10" s="16">
        <v>1.2</v>
      </c>
      <c r="Q10" s="47" t="s">
        <v>102</v>
      </c>
      <c r="R10" s="16">
        <v>24</v>
      </c>
    </row>
    <row r="11" spans="2:46" x14ac:dyDescent="0.25">
      <c r="AH11" s="22"/>
      <c r="AK11" s="20" t="s">
        <v>75</v>
      </c>
      <c r="AL11" s="18"/>
      <c r="AM11" s="18"/>
      <c r="AN11" s="19"/>
      <c r="AP11" s="1" t="s">
        <v>76</v>
      </c>
    </row>
    <row r="12" spans="2:46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AH12" s="1"/>
      <c r="AK12" s="25" t="s">
        <v>79</v>
      </c>
      <c r="AL12" s="26" t="s">
        <v>80</v>
      </c>
      <c r="AM12" s="26"/>
      <c r="AN12" s="27"/>
    </row>
    <row r="13" spans="2:46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AG13" s="1"/>
      <c r="AH13" s="13"/>
      <c r="AI13" s="13"/>
      <c r="AK13" s="33"/>
      <c r="AL13" s="34"/>
      <c r="AM13" s="31"/>
      <c r="AN13" s="13"/>
      <c r="AP13">
        <v>-10</v>
      </c>
      <c r="AQ13" s="13">
        <f>IF(AP13&lt;$C$13,0,(AP13-$C$13)*$C$14)</f>
        <v>0</v>
      </c>
      <c r="AS13" s="13"/>
      <c r="AT13" s="13"/>
    </row>
    <row r="14" spans="2:46" x14ac:dyDescent="0.25">
      <c r="B14" s="23" t="s">
        <v>84</v>
      </c>
      <c r="C14">
        <v>0</v>
      </c>
      <c r="D14" t="s">
        <v>85</v>
      </c>
      <c r="L14" s="24"/>
      <c r="N14" s="29">
        <v>0</v>
      </c>
      <c r="O14" s="30">
        <v>0</v>
      </c>
      <c r="P14" s="31">
        <f t="shared" ref="P14:P34" si="12">N14*$O$10</f>
        <v>0</v>
      </c>
      <c r="Q14" s="13">
        <f t="shared" ref="Q14:Q34" si="13">O14/($O$10)</f>
        <v>0</v>
      </c>
      <c r="S14" s="32">
        <v>0</v>
      </c>
      <c r="T14" s="32">
        <v>0</v>
      </c>
      <c r="AG14" s="13"/>
      <c r="AH14" s="13"/>
      <c r="AI14" s="13"/>
      <c r="AK14" s="33"/>
      <c r="AL14" s="34"/>
      <c r="AM14" s="31"/>
      <c r="AN14" s="13"/>
      <c r="AP14">
        <v>-9</v>
      </c>
      <c r="AQ14" s="13">
        <f t="shared" ref="AQ14:AQ53" si="14">IF(AP14&lt;$C$13,0,(AP14-$C$13)*$C$14)</f>
        <v>0</v>
      </c>
      <c r="AS14" s="13"/>
      <c r="AT14" s="13"/>
    </row>
    <row r="15" spans="2:46" x14ac:dyDescent="0.25">
      <c r="B15" s="35"/>
      <c r="L15" s="24"/>
      <c r="N15" s="29">
        <v>1</v>
      </c>
      <c r="O15" s="30">
        <v>3.364805837721221E-5</v>
      </c>
      <c r="P15" s="31">
        <f t="shared" si="12"/>
        <v>1.2</v>
      </c>
      <c r="Q15" s="13">
        <f t="shared" si="13"/>
        <v>2.8040048647676842E-5</v>
      </c>
      <c r="S15" s="32">
        <v>1</v>
      </c>
      <c r="T15" s="32">
        <v>0</v>
      </c>
      <c r="AG15" s="13"/>
      <c r="AH15" s="13"/>
      <c r="AI15" s="13"/>
      <c r="AK15" s="33"/>
      <c r="AL15" s="34"/>
      <c r="AM15" s="31"/>
      <c r="AN15" s="13"/>
      <c r="AP15">
        <v>-8</v>
      </c>
      <c r="AQ15" s="13">
        <f t="shared" si="14"/>
        <v>0</v>
      </c>
      <c r="AS15" s="13"/>
      <c r="AT15" s="13"/>
    </row>
    <row r="16" spans="2:46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2.1362475367846939E-3</v>
      </c>
      <c r="P16" s="31">
        <f t="shared" si="12"/>
        <v>2.4</v>
      </c>
      <c r="Q16" s="13">
        <f t="shared" si="13"/>
        <v>1.7802062806539117E-3</v>
      </c>
      <c r="S16" s="32">
        <v>2</v>
      </c>
      <c r="T16" s="32">
        <v>0</v>
      </c>
      <c r="AG16" s="13"/>
      <c r="AH16" s="13"/>
      <c r="AI16" s="13"/>
      <c r="AK16" s="33"/>
      <c r="AL16" s="34"/>
      <c r="AM16" s="31"/>
      <c r="AN16" s="13"/>
      <c r="AP16">
        <v>-7</v>
      </c>
      <c r="AQ16" s="13">
        <f t="shared" si="14"/>
        <v>0</v>
      </c>
      <c r="AS16" s="13"/>
      <c r="AT16" s="13"/>
    </row>
    <row r="17" spans="2:46" x14ac:dyDescent="0.25">
      <c r="B17" s="35">
        <v>0</v>
      </c>
      <c r="C17" t="s">
        <v>95</v>
      </c>
      <c r="G17" s="36">
        <v>17</v>
      </c>
      <c r="H17">
        <v>0</v>
      </c>
      <c r="I17">
        <v>0</v>
      </c>
      <c r="J17">
        <f>G17</f>
        <v>17</v>
      </c>
      <c r="K17">
        <v>0</v>
      </c>
      <c r="L17" s="24"/>
      <c r="N17" s="29">
        <v>3</v>
      </c>
      <c r="O17" s="30">
        <v>2.421913017686652E-2</v>
      </c>
      <c r="P17" s="31">
        <f t="shared" si="12"/>
        <v>3.5999999999999996</v>
      </c>
      <c r="Q17" s="13">
        <f t="shared" si="13"/>
        <v>2.0182608480722102E-2</v>
      </c>
      <c r="S17" s="32">
        <v>3</v>
      </c>
      <c r="T17" s="32">
        <v>0</v>
      </c>
      <c r="AG17" s="13"/>
      <c r="AH17" s="13"/>
      <c r="AI17" s="13"/>
      <c r="AK17" s="33"/>
      <c r="AL17" s="34"/>
      <c r="AM17" s="31"/>
      <c r="AN17" s="13"/>
      <c r="AP17">
        <v>-6</v>
      </c>
      <c r="AQ17" s="13">
        <f t="shared" si="14"/>
        <v>0</v>
      </c>
      <c r="AS17" s="13"/>
      <c r="AT17" s="13"/>
    </row>
    <row r="18" spans="2:46" x14ac:dyDescent="0.25">
      <c r="B18" s="35">
        <v>1</v>
      </c>
      <c r="C18" s="37" t="str">
        <f>B4</f>
        <v>18 0011</v>
      </c>
      <c r="D18" s="36">
        <v>10</v>
      </c>
      <c r="E18" s="36">
        <v>1</v>
      </c>
      <c r="F18" s="38">
        <v>0.4</v>
      </c>
      <c r="G18" s="14">
        <f>F18*D18</f>
        <v>4</v>
      </c>
      <c r="H18" s="39">
        <f>AF4*F18*E18</f>
        <v>1252.4444444444443</v>
      </c>
      <c r="I18" s="13">
        <f>H18/G18</f>
        <v>313.11111111111109</v>
      </c>
      <c r="J18" s="40">
        <f>G4*D18+((E18-1)*D18*E4)</f>
        <v>21.5</v>
      </c>
      <c r="K18" s="31">
        <f>J18-G18</f>
        <v>17.5</v>
      </c>
      <c r="L18" s="24"/>
      <c r="N18" s="29">
        <v>4</v>
      </c>
      <c r="O18" s="30">
        <v>0.13562605863491042</v>
      </c>
      <c r="P18" s="31">
        <f t="shared" si="12"/>
        <v>4.8</v>
      </c>
      <c r="Q18" s="13">
        <f t="shared" si="13"/>
        <v>0.11302171552909203</v>
      </c>
      <c r="S18" s="32">
        <v>4</v>
      </c>
      <c r="T18" s="32">
        <v>0</v>
      </c>
      <c r="AG18" s="13"/>
      <c r="AH18" s="13"/>
      <c r="AI18" s="13"/>
      <c r="AK18" s="33"/>
      <c r="AL18" s="34"/>
      <c r="AM18" s="31"/>
      <c r="AN18" s="13"/>
      <c r="AP18">
        <v>-5</v>
      </c>
      <c r="AQ18" s="13">
        <f t="shared" si="14"/>
        <v>0</v>
      </c>
      <c r="AS18" s="13"/>
      <c r="AT18" s="13"/>
    </row>
    <row r="19" spans="2:46" x14ac:dyDescent="0.25">
      <c r="B19" s="35">
        <v>2</v>
      </c>
      <c r="C19" s="37" t="str">
        <f>B6</f>
        <v>18 0029</v>
      </c>
      <c r="D19" s="36">
        <v>12</v>
      </c>
      <c r="E19" s="36">
        <v>1</v>
      </c>
      <c r="F19" s="38">
        <v>0.55000000000000004</v>
      </c>
      <c r="G19" s="14">
        <f>F19*D19</f>
        <v>6.6000000000000005</v>
      </c>
      <c r="H19" s="39">
        <f>AF6*F19*E19</f>
        <v>3663</v>
      </c>
      <c r="I19" s="13">
        <f>H19/G19</f>
        <v>555</v>
      </c>
      <c r="J19" s="40">
        <f>G6*D19+((E19-1)*D19*E6)</f>
        <v>37.200000000000003</v>
      </c>
      <c r="K19" s="31">
        <f>J19-G19</f>
        <v>30.6</v>
      </c>
      <c r="L19" s="24"/>
      <c r="N19" s="29">
        <v>5</v>
      </c>
      <c r="O19" s="30">
        <v>0.5160362405944483</v>
      </c>
      <c r="P19" s="31">
        <f t="shared" si="12"/>
        <v>6</v>
      </c>
      <c r="Q19" s="13">
        <f t="shared" si="13"/>
        <v>0.4300302004953736</v>
      </c>
      <c r="S19" s="32">
        <v>5</v>
      </c>
      <c r="T19" s="32">
        <v>0</v>
      </c>
      <c r="AG19" s="13"/>
      <c r="AH19" s="13"/>
      <c r="AI19" s="13"/>
      <c r="AK19" s="33"/>
      <c r="AL19" s="34"/>
      <c r="AM19" s="31"/>
      <c r="AN19" s="13"/>
      <c r="AP19">
        <v>-4</v>
      </c>
      <c r="AQ19" s="13">
        <f t="shared" si="14"/>
        <v>0</v>
      </c>
      <c r="AS19" s="13"/>
      <c r="AT19" s="13"/>
    </row>
    <row r="20" spans="2:46" x14ac:dyDescent="0.25">
      <c r="B20" s="35"/>
      <c r="L20" s="24"/>
      <c r="N20" s="29">
        <v>6</v>
      </c>
      <c r="O20" s="30">
        <v>1.5376238534594899</v>
      </c>
      <c r="P20" s="31">
        <f t="shared" si="12"/>
        <v>7.1999999999999993</v>
      </c>
      <c r="Q20" s="13">
        <f t="shared" si="13"/>
        <v>1.2813532112162416</v>
      </c>
      <c r="S20" s="32">
        <v>6</v>
      </c>
      <c r="T20" s="32">
        <v>0</v>
      </c>
      <c r="AG20" s="13"/>
      <c r="AH20" s="13"/>
      <c r="AI20" s="13"/>
      <c r="AK20" s="33"/>
      <c r="AL20" s="34"/>
      <c r="AM20" s="31"/>
      <c r="AN20" s="13"/>
      <c r="AP20">
        <v>-3</v>
      </c>
      <c r="AQ20" s="13">
        <f t="shared" si="14"/>
        <v>0</v>
      </c>
      <c r="AS20" s="13"/>
      <c r="AT20" s="13"/>
    </row>
    <row r="21" spans="2:46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75.7</v>
      </c>
      <c r="K21" s="43">
        <f>SUM(K17:K19)</f>
        <v>48.1</v>
      </c>
      <c r="L21" s="24"/>
      <c r="N21" s="29">
        <v>7</v>
      </c>
      <c r="O21" s="30">
        <v>3.8703928613079701</v>
      </c>
      <c r="P21" s="31">
        <f t="shared" si="12"/>
        <v>8.4</v>
      </c>
      <c r="Q21" s="13">
        <f t="shared" si="13"/>
        <v>3.2253273844233084</v>
      </c>
      <c r="S21" s="32">
        <v>7</v>
      </c>
      <c r="T21" s="32">
        <v>0</v>
      </c>
      <c r="AG21" s="13"/>
      <c r="AH21" s="13"/>
      <c r="AI21" s="13"/>
      <c r="AK21" s="33"/>
      <c r="AL21" s="34"/>
      <c r="AM21" s="31"/>
      <c r="AN21" s="13"/>
      <c r="AP21">
        <v>-2</v>
      </c>
      <c r="AQ21" s="13">
        <f t="shared" si="14"/>
        <v>0</v>
      </c>
      <c r="AS21" s="13"/>
      <c r="AT21" s="13"/>
    </row>
    <row r="22" spans="2:46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8.6106256246530108</v>
      </c>
      <c r="P22" s="31">
        <f t="shared" si="12"/>
        <v>9.6</v>
      </c>
      <c r="Q22" s="13">
        <f t="shared" si="13"/>
        <v>7.1755213538775093</v>
      </c>
      <c r="S22" s="32">
        <v>8</v>
      </c>
      <c r="T22" s="32">
        <v>0</v>
      </c>
      <c r="AG22" s="13"/>
      <c r="AH22" s="13"/>
      <c r="AI22" s="13"/>
      <c r="AK22" s="33"/>
      <c r="AL22" s="34"/>
      <c r="AM22" s="31"/>
      <c r="AN22" s="13"/>
      <c r="AP22">
        <v>-1</v>
      </c>
      <c r="AQ22" s="13">
        <f t="shared" si="14"/>
        <v>0</v>
      </c>
      <c r="AS22" s="13"/>
      <c r="AT22" s="13"/>
    </row>
    <row r="23" spans="2:46" x14ac:dyDescent="0.25">
      <c r="B23" s="35" t="s">
        <v>101</v>
      </c>
      <c r="C23">
        <v>0</v>
      </c>
      <c r="F23">
        <f>G17</f>
        <v>17</v>
      </c>
      <c r="G23" s="13">
        <f>C23+(F23-$C$13)*($C$14)</f>
        <v>0</v>
      </c>
      <c r="H23" s="50" t="s">
        <v>104</v>
      </c>
      <c r="J23" s="31"/>
      <c r="L23" s="24"/>
      <c r="N23" s="29">
        <v>9</v>
      </c>
      <c r="O23" s="30">
        <v>17.432395651133689</v>
      </c>
      <c r="P23" s="31">
        <f t="shared" si="12"/>
        <v>10.799999999999999</v>
      </c>
      <c r="Q23" s="13">
        <f t="shared" si="13"/>
        <v>14.526996375944741</v>
      </c>
      <c r="S23" s="32">
        <v>9</v>
      </c>
      <c r="T23" s="32">
        <v>0</v>
      </c>
      <c r="AG23" s="13"/>
      <c r="AH23" s="13"/>
      <c r="AI23" s="13"/>
      <c r="AK23" s="33"/>
      <c r="AL23" s="34"/>
      <c r="AM23" s="31"/>
      <c r="AN23" s="13"/>
      <c r="AP23">
        <v>0</v>
      </c>
      <c r="AQ23" s="13">
        <f t="shared" si="14"/>
        <v>0</v>
      </c>
      <c r="AS23" s="13"/>
      <c r="AT23" s="13"/>
    </row>
    <row r="24" spans="2:46" x14ac:dyDescent="0.25">
      <c r="B24" s="35">
        <v>1</v>
      </c>
      <c r="C24" s="13">
        <f>H18</f>
        <v>1252.4444444444443</v>
      </c>
      <c r="D24" s="13">
        <f>I18*I19/(I18+I19)</f>
        <v>200.1779086138487</v>
      </c>
      <c r="E24" s="31">
        <f>C24/D24</f>
        <v>6.2566566566566566</v>
      </c>
      <c r="F24" s="31">
        <f>F23+E24</f>
        <v>23.256656656656656</v>
      </c>
      <c r="G24" s="13">
        <f>C24+(F24-$C$13)*($C$14)</f>
        <v>1252.4444444444443</v>
      </c>
      <c r="H24" s="51" t="s">
        <v>105</v>
      </c>
      <c r="L24" s="24"/>
      <c r="N24" s="29">
        <v>10</v>
      </c>
      <c r="O24" s="30">
        <v>32.7621028085265</v>
      </c>
      <c r="P24" s="31">
        <f t="shared" si="12"/>
        <v>12</v>
      </c>
      <c r="Q24" s="13">
        <f t="shared" si="13"/>
        <v>27.30175234043875</v>
      </c>
      <c r="S24" s="32">
        <v>10</v>
      </c>
      <c r="T24" s="32">
        <v>0</v>
      </c>
      <c r="AG24" s="13"/>
      <c r="AH24" s="13"/>
      <c r="AI24" s="13"/>
      <c r="AK24" s="33"/>
      <c r="AL24" s="34"/>
      <c r="AM24" s="31"/>
      <c r="AN24" s="13"/>
      <c r="AP24">
        <v>1</v>
      </c>
      <c r="AQ24" s="13">
        <f t="shared" si="14"/>
        <v>0</v>
      </c>
      <c r="AS24" s="13"/>
      <c r="AT24" s="13"/>
    </row>
    <row r="25" spans="2:46" x14ac:dyDescent="0.25">
      <c r="B25" s="35">
        <v>2</v>
      </c>
      <c r="C25" s="13">
        <f>H19</f>
        <v>3663</v>
      </c>
      <c r="D25" s="13">
        <f>I19</f>
        <v>555</v>
      </c>
      <c r="E25" s="31">
        <f>(C25-C24)/D25</f>
        <v>4.3433433433433439</v>
      </c>
      <c r="F25" s="31">
        <f>F24+E25</f>
        <v>27.6</v>
      </c>
      <c r="G25" s="13">
        <f>C25+(F25-$C$13)*($C$14)</f>
        <v>3663</v>
      </c>
      <c r="H25" s="51" t="s">
        <v>106</v>
      </c>
      <c r="L25" s="24"/>
      <c r="N25" s="29">
        <v>11</v>
      </c>
      <c r="O25" s="30">
        <v>57.975995072057621</v>
      </c>
      <c r="P25" s="31">
        <f t="shared" si="12"/>
        <v>13.2</v>
      </c>
      <c r="Q25" s="13">
        <f t="shared" si="13"/>
        <v>48.313329226714686</v>
      </c>
      <c r="S25" s="32">
        <v>11</v>
      </c>
      <c r="T25" s="32">
        <v>0</v>
      </c>
      <c r="AG25" s="13"/>
      <c r="AH25" s="13"/>
      <c r="AI25" s="13"/>
      <c r="AK25" s="33"/>
      <c r="AL25" s="34"/>
      <c r="AM25" s="31"/>
      <c r="AN25" s="13"/>
      <c r="AP25">
        <v>2</v>
      </c>
      <c r="AQ25" s="13">
        <f t="shared" si="14"/>
        <v>0</v>
      </c>
      <c r="AS25" s="13"/>
      <c r="AT25" s="13"/>
    </row>
    <row r="26" spans="2:46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97.62064522804053</v>
      </c>
      <c r="P26" s="31">
        <f t="shared" si="12"/>
        <v>14.399999999999999</v>
      </c>
      <c r="Q26" s="13">
        <f t="shared" si="13"/>
        <v>81.350537690033775</v>
      </c>
      <c r="S26" s="32">
        <v>12</v>
      </c>
      <c r="T26" s="32">
        <v>0</v>
      </c>
      <c r="AG26" s="13"/>
      <c r="AH26" s="13"/>
      <c r="AI26" s="13"/>
      <c r="AK26" s="33"/>
      <c r="AL26" s="34"/>
      <c r="AM26" s="31"/>
      <c r="AN26" s="13"/>
      <c r="AP26">
        <v>3</v>
      </c>
      <c r="AQ26" s="13">
        <f t="shared" si="14"/>
        <v>0</v>
      </c>
      <c r="AS26" s="13"/>
      <c r="AT26" s="13"/>
    </row>
    <row r="27" spans="2:46" x14ac:dyDescent="0.25">
      <c r="N27" s="29">
        <v>13</v>
      </c>
      <c r="O27" s="30">
        <v>157.65635436409488</v>
      </c>
      <c r="P27" s="31">
        <f t="shared" si="12"/>
        <v>15.6</v>
      </c>
      <c r="Q27" s="13">
        <f t="shared" si="13"/>
        <v>131.3802953034124</v>
      </c>
      <c r="S27" s="32">
        <v>13</v>
      </c>
      <c r="T27" s="32">
        <v>0</v>
      </c>
      <c r="AG27" s="13"/>
      <c r="AH27" s="13"/>
      <c r="AI27" s="13"/>
      <c r="AK27" s="33"/>
      <c r="AL27" s="34"/>
      <c r="AM27" s="31"/>
      <c r="AN27" s="13"/>
      <c r="AP27">
        <v>4</v>
      </c>
      <c r="AQ27" s="13">
        <f t="shared" si="14"/>
        <v>0</v>
      </c>
      <c r="AS27" s="13"/>
      <c r="AT27" s="13"/>
    </row>
    <row r="28" spans="2:46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245.72345671980017</v>
      </c>
      <c r="P28" s="31">
        <f t="shared" si="12"/>
        <v>16.8</v>
      </c>
      <c r="Q28" s="13">
        <f t="shared" si="13"/>
        <v>204.76954726650015</v>
      </c>
      <c r="S28" s="32">
        <v>14</v>
      </c>
      <c r="T28" s="32">
        <v>0</v>
      </c>
      <c r="AG28" s="13"/>
      <c r="AH28" s="13"/>
      <c r="AI28" s="13"/>
      <c r="AK28" s="33"/>
      <c r="AL28" s="34"/>
      <c r="AM28" s="31"/>
      <c r="AN28" s="13"/>
      <c r="AP28">
        <v>5</v>
      </c>
      <c r="AQ28" s="13">
        <f t="shared" si="14"/>
        <v>0</v>
      </c>
      <c r="AS28" s="13"/>
      <c r="AT28" s="13"/>
    </row>
    <row r="29" spans="2:46" x14ac:dyDescent="0.25">
      <c r="B29" s="23" t="s">
        <v>107</v>
      </c>
      <c r="L29" s="24"/>
      <c r="N29" s="29">
        <v>15</v>
      </c>
      <c r="O29" s="30">
        <v>371.43150272830815</v>
      </c>
      <c r="P29" s="31">
        <f t="shared" si="12"/>
        <v>18</v>
      </c>
      <c r="Q29" s="13">
        <f t="shared" si="13"/>
        <v>309.52625227359016</v>
      </c>
      <c r="S29" s="32">
        <v>15</v>
      </c>
      <c r="T29" s="32">
        <v>0</v>
      </c>
      <c r="AG29" s="13"/>
      <c r="AH29" s="13"/>
      <c r="AI29" s="13"/>
      <c r="AK29" s="33"/>
      <c r="AL29" s="34"/>
      <c r="AM29" s="31"/>
      <c r="AN29" s="13"/>
      <c r="AP29">
        <v>6</v>
      </c>
      <c r="AQ29" s="13">
        <f t="shared" si="14"/>
        <v>0</v>
      </c>
      <c r="AS29" s="13"/>
      <c r="AT29" s="13"/>
    </row>
    <row r="30" spans="2:46" x14ac:dyDescent="0.25">
      <c r="B30" s="23" t="s">
        <v>121</v>
      </c>
      <c r="L30" s="24"/>
      <c r="N30" s="29">
        <v>16</v>
      </c>
      <c r="O30" s="30">
        <v>546.67129896854885</v>
      </c>
      <c r="P30" s="31">
        <f t="shared" si="12"/>
        <v>19.2</v>
      </c>
      <c r="Q30" s="13">
        <f t="shared" si="13"/>
        <v>455.55941580712408</v>
      </c>
      <c r="S30" s="32">
        <v>16</v>
      </c>
      <c r="T30" s="32">
        <v>31.870357537024301</v>
      </c>
      <c r="AG30" s="13"/>
      <c r="AH30" s="13"/>
      <c r="AI30" s="13"/>
      <c r="AK30" s="33"/>
      <c r="AL30" s="34"/>
      <c r="AM30" s="31"/>
      <c r="AN30" s="13"/>
      <c r="AP30">
        <v>7</v>
      </c>
      <c r="AQ30" s="13">
        <f t="shared" si="14"/>
        <v>0</v>
      </c>
      <c r="AS30" s="13"/>
      <c r="AT30" s="13"/>
    </row>
    <row r="31" spans="2:46" x14ac:dyDescent="0.25">
      <c r="B31" s="23" t="s">
        <v>108</v>
      </c>
      <c r="L31" s="24"/>
      <c r="N31" s="29">
        <v>17</v>
      </c>
      <c r="O31" s="30">
        <v>785.94978535239409</v>
      </c>
      <c r="P31" s="31">
        <f t="shared" si="12"/>
        <v>20.399999999999999</v>
      </c>
      <c r="Q31" s="13">
        <f t="shared" si="13"/>
        <v>654.95815446032839</v>
      </c>
      <c r="S31" s="32">
        <v>17</v>
      </c>
      <c r="T31" s="32">
        <v>210.68814968814999</v>
      </c>
      <c r="AG31" s="13"/>
      <c r="AH31" s="13"/>
      <c r="AI31" s="13"/>
      <c r="AK31" s="33"/>
      <c r="AL31" s="34"/>
      <c r="AM31" s="31"/>
      <c r="AN31" s="13"/>
      <c r="AP31">
        <v>8</v>
      </c>
      <c r="AQ31" s="13">
        <f t="shared" si="14"/>
        <v>0</v>
      </c>
      <c r="AS31" s="13"/>
      <c r="AT31" s="13"/>
    </row>
    <row r="32" spans="2:46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1106.7477312512872</v>
      </c>
      <c r="P32" s="31">
        <f t="shared" si="12"/>
        <v>21.599999999999998</v>
      </c>
      <c r="Q32" s="13">
        <f t="shared" si="13"/>
        <v>922.28977604273939</v>
      </c>
      <c r="S32" s="32">
        <v>18</v>
      </c>
      <c r="T32" s="32">
        <v>389.50594183927501</v>
      </c>
      <c r="AG32" s="13"/>
      <c r="AH32" s="13"/>
      <c r="AI32" s="13"/>
      <c r="AK32" s="33"/>
      <c r="AL32" s="34"/>
      <c r="AM32" s="31"/>
      <c r="AN32" s="13"/>
      <c r="AP32">
        <v>9</v>
      </c>
      <c r="AQ32" s="13">
        <f t="shared" si="14"/>
        <v>0</v>
      </c>
      <c r="AS32" s="13"/>
      <c r="AT32" s="13"/>
    </row>
    <row r="33" spans="2:46" x14ac:dyDescent="0.25">
      <c r="B33" s="35"/>
      <c r="G33" s="36"/>
      <c r="L33" s="24"/>
      <c r="N33" s="29">
        <v>19</v>
      </c>
      <c r="O33" s="30">
        <v>1529.9002334665549</v>
      </c>
      <c r="P33" s="31">
        <f t="shared" si="12"/>
        <v>22.8</v>
      </c>
      <c r="Q33" s="13">
        <f t="shared" si="13"/>
        <v>1274.9168612221292</v>
      </c>
      <c r="S33" s="32">
        <v>19</v>
      </c>
      <c r="T33" s="32">
        <v>568.32373399040102</v>
      </c>
      <c r="AG33" s="13"/>
      <c r="AH33" s="13"/>
      <c r="AI33" s="13"/>
      <c r="AK33" s="33"/>
      <c r="AL33" s="34"/>
      <c r="AM33" s="31"/>
      <c r="AN33" s="13"/>
      <c r="AP33">
        <v>10</v>
      </c>
      <c r="AQ33" s="13">
        <f t="shared" si="14"/>
        <v>0</v>
      </c>
      <c r="AS33" s="13"/>
      <c r="AT33" s="13"/>
    </row>
    <row r="34" spans="2:46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2080</v>
      </c>
      <c r="P34" s="31">
        <f t="shared" si="12"/>
        <v>24</v>
      </c>
      <c r="Q34" s="13">
        <f t="shared" si="13"/>
        <v>1733.3333333333335</v>
      </c>
      <c r="S34" s="32">
        <v>20</v>
      </c>
      <c r="T34" s="32">
        <v>747.14152614152601</v>
      </c>
      <c r="AG34" s="13"/>
      <c r="AH34" s="13"/>
      <c r="AI34" s="13"/>
      <c r="AK34" s="33"/>
      <c r="AL34" s="34"/>
      <c r="AM34" s="31"/>
      <c r="AN34" s="13"/>
      <c r="AP34">
        <v>11</v>
      </c>
      <c r="AQ34" s="13">
        <f t="shared" si="14"/>
        <v>0</v>
      </c>
      <c r="AS34" s="13"/>
      <c r="AT34" s="13"/>
    </row>
    <row r="35" spans="2:46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/>
      <c r="P35" s="31"/>
      <c r="Q35" s="13"/>
      <c r="S35" s="32">
        <v>21</v>
      </c>
      <c r="T35" s="32">
        <v>925.95931829265203</v>
      </c>
      <c r="AG35" s="13"/>
      <c r="AH35" s="13"/>
      <c r="AI35" s="13"/>
      <c r="AK35" s="33"/>
      <c r="AL35" s="34"/>
      <c r="AM35" s="31"/>
      <c r="AN35" s="13"/>
      <c r="AP35">
        <v>12</v>
      </c>
      <c r="AQ35" s="13">
        <f t="shared" si="14"/>
        <v>0</v>
      </c>
      <c r="AS35" s="13"/>
      <c r="AT35" s="13"/>
    </row>
    <row r="36" spans="2:46" x14ac:dyDescent="0.25">
      <c r="B36" s="35"/>
      <c r="L36" s="24"/>
      <c r="N36" s="29">
        <v>22</v>
      </c>
      <c r="O36" s="30"/>
      <c r="P36" s="31"/>
      <c r="Q36" s="13"/>
      <c r="S36" s="32">
        <v>22</v>
      </c>
      <c r="T36" s="32">
        <v>1104.77711044378</v>
      </c>
      <c r="AG36" s="13"/>
      <c r="AH36" s="13"/>
      <c r="AI36" s="13"/>
      <c r="AK36" s="33"/>
      <c r="AL36" s="34"/>
      <c r="AM36" s="31"/>
      <c r="AN36" s="13"/>
      <c r="AP36">
        <v>13</v>
      </c>
      <c r="AQ36" s="13">
        <f t="shared" si="14"/>
        <v>0</v>
      </c>
      <c r="AS36" s="13"/>
      <c r="AT36" s="13"/>
    </row>
    <row r="37" spans="2:46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/>
      <c r="P37" s="31"/>
      <c r="Q37" s="13"/>
      <c r="S37" s="32">
        <v>23</v>
      </c>
      <c r="T37" s="32">
        <v>1305.84848484848</v>
      </c>
      <c r="AG37" s="13"/>
      <c r="AH37" s="13"/>
      <c r="AI37" s="13"/>
      <c r="AK37" s="33"/>
      <c r="AL37" s="34"/>
      <c r="AM37" s="31"/>
      <c r="AN37" s="13"/>
      <c r="AP37">
        <v>14</v>
      </c>
      <c r="AQ37" s="13">
        <f t="shared" si="14"/>
        <v>0</v>
      </c>
      <c r="AS37" s="13"/>
      <c r="AT37" s="13"/>
    </row>
    <row r="38" spans="2:46" x14ac:dyDescent="0.25">
      <c r="B38" s="35"/>
      <c r="G38" s="13"/>
      <c r="L38" s="24"/>
      <c r="N38" s="29">
        <v>24</v>
      </c>
      <c r="O38" s="30"/>
      <c r="P38" s="31"/>
      <c r="Q38" s="13"/>
      <c r="S38" s="32">
        <v>24</v>
      </c>
      <c r="T38" s="32">
        <v>1818.27272727273</v>
      </c>
      <c r="AG38" s="13"/>
      <c r="AH38" s="13"/>
      <c r="AI38" s="13"/>
      <c r="AK38" s="33"/>
      <c r="AL38" s="34"/>
      <c r="AM38" s="31"/>
      <c r="AN38" s="13"/>
      <c r="AP38">
        <v>15</v>
      </c>
      <c r="AQ38" s="13">
        <f t="shared" si="14"/>
        <v>0</v>
      </c>
      <c r="AS38" s="13"/>
      <c r="AT38" s="13"/>
    </row>
    <row r="39" spans="2:46" x14ac:dyDescent="0.25">
      <c r="B39" s="35"/>
      <c r="G39" s="13"/>
      <c r="J39" s="31"/>
      <c r="L39" s="24"/>
      <c r="N39" s="29">
        <v>25</v>
      </c>
      <c r="O39" s="30"/>
      <c r="P39" s="31"/>
      <c r="Q39" s="13"/>
      <c r="S39" s="44">
        <v>25</v>
      </c>
      <c r="T39" s="32">
        <v>2330.69696969697</v>
      </c>
      <c r="AE39" s="13"/>
      <c r="AF39" s="13"/>
      <c r="AG39" s="13"/>
      <c r="AH39" s="13"/>
      <c r="AI39" s="13"/>
      <c r="AK39" s="33"/>
      <c r="AL39" s="34"/>
      <c r="AM39" s="31"/>
      <c r="AN39" s="13"/>
      <c r="AP39">
        <v>16</v>
      </c>
      <c r="AQ39" s="13">
        <f t="shared" si="14"/>
        <v>0</v>
      </c>
      <c r="AS39" s="13"/>
      <c r="AT39" s="13"/>
    </row>
    <row r="40" spans="2:46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/>
      <c r="P40" s="31"/>
      <c r="Q40" s="13"/>
      <c r="S40" s="44">
        <v>26</v>
      </c>
      <c r="T40" s="32">
        <v>2843.1212121212102</v>
      </c>
      <c r="AE40" s="13"/>
      <c r="AF40" s="13"/>
      <c r="AG40" s="13"/>
      <c r="AH40" s="13"/>
      <c r="AI40" s="13"/>
      <c r="AK40" s="33"/>
      <c r="AL40" s="34"/>
      <c r="AM40" s="31"/>
      <c r="AN40" s="13"/>
      <c r="AP40">
        <v>17</v>
      </c>
      <c r="AQ40" s="13">
        <f t="shared" si="14"/>
        <v>0</v>
      </c>
      <c r="AS40" s="13"/>
      <c r="AT40" s="13"/>
    </row>
    <row r="41" spans="2:46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/>
      <c r="P41" s="31"/>
      <c r="Q41" s="13"/>
      <c r="S41" s="44">
        <v>27</v>
      </c>
      <c r="T41" s="32">
        <v>3355.54545454545</v>
      </c>
      <c r="AE41" s="13"/>
      <c r="AF41" s="13"/>
      <c r="AG41" s="13"/>
      <c r="AH41" s="13"/>
      <c r="AI41" s="13"/>
      <c r="AK41" s="33"/>
      <c r="AL41" s="34"/>
      <c r="AM41" s="31"/>
      <c r="AN41" s="13"/>
      <c r="AP41">
        <v>18</v>
      </c>
      <c r="AQ41" s="13">
        <f t="shared" si="14"/>
        <v>0</v>
      </c>
      <c r="AS41" s="13"/>
      <c r="AT41" s="13"/>
    </row>
    <row r="42" spans="2:46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/>
      <c r="P42" s="31"/>
      <c r="Q42" s="13"/>
      <c r="S42" s="44">
        <v>28</v>
      </c>
      <c r="T42" s="32">
        <v>3856.3195805750302</v>
      </c>
      <c r="AE42" s="13"/>
      <c r="AF42" s="13"/>
      <c r="AG42" s="13"/>
      <c r="AH42" s="13"/>
      <c r="AI42" s="13"/>
      <c r="AK42" s="33"/>
      <c r="AL42" s="34"/>
      <c r="AM42" s="31"/>
      <c r="AN42" s="13"/>
      <c r="AP42">
        <v>19</v>
      </c>
      <c r="AQ42" s="13">
        <f t="shared" si="14"/>
        <v>0</v>
      </c>
      <c r="AS42" s="13"/>
      <c r="AT42" s="13"/>
    </row>
    <row r="43" spans="2:46" x14ac:dyDescent="0.25">
      <c r="N43" s="29">
        <v>29</v>
      </c>
      <c r="O43" s="30"/>
      <c r="P43" s="31"/>
      <c r="Q43" s="13"/>
      <c r="S43" s="44"/>
      <c r="T43" s="32"/>
      <c r="AE43" s="13"/>
      <c r="AF43" s="13"/>
      <c r="AG43" s="13"/>
      <c r="AH43" s="13"/>
      <c r="AI43" s="13"/>
      <c r="AK43" s="33"/>
      <c r="AL43" s="34"/>
      <c r="AM43" s="31"/>
      <c r="AN43" s="13"/>
      <c r="AP43">
        <v>20</v>
      </c>
      <c r="AQ43" s="13">
        <f t="shared" si="14"/>
        <v>0</v>
      </c>
      <c r="AS43" s="13"/>
      <c r="AT43" s="13"/>
    </row>
    <row r="44" spans="2:46" x14ac:dyDescent="0.25">
      <c r="N44" s="29">
        <v>30</v>
      </c>
      <c r="O44" s="30"/>
      <c r="P44" s="31"/>
      <c r="Q44" s="13"/>
      <c r="S44" s="44"/>
      <c r="T44" s="32"/>
      <c r="AE44" s="13"/>
      <c r="AF44" s="13"/>
      <c r="AG44" s="13"/>
      <c r="AH44" s="13"/>
      <c r="AI44" s="13"/>
      <c r="AK44" s="33"/>
      <c r="AL44" s="34"/>
      <c r="AM44" s="31"/>
      <c r="AN44" s="13"/>
      <c r="AP44">
        <v>21</v>
      </c>
      <c r="AQ44" s="13">
        <f t="shared" si="14"/>
        <v>0</v>
      </c>
    </row>
    <row r="45" spans="2:46" x14ac:dyDescent="0.25">
      <c r="N45" s="29">
        <v>31</v>
      </c>
      <c r="O45" s="30"/>
      <c r="P45" s="31"/>
      <c r="Q45" s="13"/>
      <c r="S45" s="44"/>
      <c r="T45" s="32"/>
      <c r="AE45" s="13"/>
      <c r="AF45" s="13"/>
      <c r="AG45" s="13"/>
      <c r="AH45" s="13"/>
      <c r="AI45" s="13"/>
      <c r="AK45" s="33"/>
      <c r="AL45" s="34"/>
      <c r="AM45" s="31"/>
      <c r="AN45" s="13"/>
      <c r="AP45">
        <v>22</v>
      </c>
      <c r="AQ45" s="13">
        <f t="shared" si="14"/>
        <v>0</v>
      </c>
    </row>
    <row r="46" spans="2:46" x14ac:dyDescent="0.25">
      <c r="N46" s="29">
        <v>32</v>
      </c>
      <c r="O46" s="30"/>
      <c r="P46" s="31"/>
      <c r="Q46" s="13"/>
      <c r="S46" s="44"/>
      <c r="T46" s="32"/>
      <c r="AE46" s="13"/>
      <c r="AF46" s="13"/>
      <c r="AG46" s="13"/>
      <c r="AH46" s="13"/>
      <c r="AI46" s="13"/>
      <c r="AK46" s="33"/>
      <c r="AL46" s="34"/>
      <c r="AM46" s="31"/>
      <c r="AN46" s="13"/>
      <c r="AP46">
        <v>23</v>
      </c>
      <c r="AQ46" s="13">
        <f t="shared" si="14"/>
        <v>0</v>
      </c>
    </row>
    <row r="47" spans="2:46" x14ac:dyDescent="0.25">
      <c r="N47" s="29">
        <v>33</v>
      </c>
      <c r="O47" s="30"/>
      <c r="P47" s="31"/>
      <c r="Q47" s="13"/>
      <c r="S47" s="44"/>
      <c r="T47" s="32"/>
      <c r="AE47" s="13"/>
      <c r="AF47" s="13"/>
      <c r="AG47" s="13"/>
      <c r="AH47" s="13"/>
      <c r="AI47" s="13"/>
      <c r="AK47" s="33"/>
      <c r="AL47" s="34"/>
      <c r="AM47" s="31"/>
      <c r="AN47" s="13"/>
      <c r="AP47">
        <v>24</v>
      </c>
      <c r="AQ47" s="13">
        <f t="shared" si="14"/>
        <v>0</v>
      </c>
    </row>
    <row r="48" spans="2:46" x14ac:dyDescent="0.25">
      <c r="N48" s="29">
        <v>34</v>
      </c>
      <c r="O48" s="30"/>
      <c r="P48" s="31"/>
      <c r="Q48" s="13"/>
      <c r="S48" s="44"/>
      <c r="T48" s="32"/>
      <c r="AE48" s="13"/>
      <c r="AF48" s="13"/>
      <c r="AG48" s="13"/>
      <c r="AH48" s="13"/>
      <c r="AI48" s="13"/>
      <c r="AK48" s="33"/>
      <c r="AL48" s="34"/>
      <c r="AM48" s="31"/>
      <c r="AN48" s="13"/>
      <c r="AP48">
        <v>25</v>
      </c>
      <c r="AQ48" s="13">
        <f t="shared" si="14"/>
        <v>0</v>
      </c>
    </row>
    <row r="49" spans="14:43" x14ac:dyDescent="0.25">
      <c r="N49" s="29">
        <v>35</v>
      </c>
      <c r="O49" s="30"/>
      <c r="P49" s="31"/>
      <c r="Q49" s="13"/>
      <c r="S49" s="44"/>
      <c r="T49" s="32"/>
      <c r="AE49" s="13"/>
      <c r="AF49" s="13"/>
      <c r="AG49" s="13"/>
      <c r="AH49" s="13"/>
      <c r="AI49" s="13"/>
      <c r="AK49" s="33"/>
      <c r="AL49" s="34"/>
      <c r="AM49" s="31"/>
      <c r="AN49" s="13"/>
      <c r="AP49">
        <v>26</v>
      </c>
      <c r="AQ49" s="13">
        <f t="shared" si="14"/>
        <v>0</v>
      </c>
    </row>
    <row r="50" spans="14:43" x14ac:dyDescent="0.25">
      <c r="N50" s="29">
        <v>36</v>
      </c>
      <c r="O50" s="30"/>
      <c r="P50" s="31"/>
      <c r="Q50" s="13"/>
      <c r="S50" s="44"/>
      <c r="T50" s="32"/>
      <c r="AE50" s="13"/>
      <c r="AF50" s="13"/>
      <c r="AG50" s="13"/>
      <c r="AH50" s="13"/>
      <c r="AI50" s="13"/>
      <c r="AK50" s="33"/>
      <c r="AL50" s="34"/>
      <c r="AM50" s="31"/>
      <c r="AN50" s="13"/>
      <c r="AP50">
        <v>27</v>
      </c>
      <c r="AQ50" s="13">
        <f t="shared" si="14"/>
        <v>0</v>
      </c>
    </row>
    <row r="51" spans="14:43" x14ac:dyDescent="0.25">
      <c r="N51" s="29">
        <v>37</v>
      </c>
      <c r="O51" s="30"/>
      <c r="P51" s="52"/>
      <c r="Q51" s="53"/>
      <c r="S51" s="44"/>
      <c r="T51" s="32"/>
      <c r="AE51" s="13"/>
      <c r="AF51" s="13"/>
      <c r="AG51" s="13"/>
      <c r="AK51" s="33"/>
      <c r="AL51" s="34"/>
      <c r="AM51" s="31"/>
      <c r="AN51" s="13"/>
      <c r="AP51">
        <v>28</v>
      </c>
      <c r="AQ51" s="13">
        <f t="shared" si="14"/>
        <v>0</v>
      </c>
    </row>
    <row r="52" spans="14:43" x14ac:dyDescent="0.25">
      <c r="N52" s="29">
        <v>38</v>
      </c>
      <c r="O52" s="30"/>
      <c r="P52" s="31"/>
      <c r="Q52" s="13"/>
      <c r="S52" s="44"/>
      <c r="T52" s="32"/>
      <c r="AK52" s="33"/>
      <c r="AL52" s="34"/>
      <c r="AM52" s="31"/>
      <c r="AN52" s="13"/>
      <c r="AP52">
        <v>29</v>
      </c>
      <c r="AQ52" s="13">
        <f t="shared" si="14"/>
        <v>0</v>
      </c>
    </row>
    <row r="53" spans="14:43" x14ac:dyDescent="0.25">
      <c r="N53" s="29">
        <v>39</v>
      </c>
      <c r="O53" s="30"/>
      <c r="P53" s="31"/>
      <c r="Q53" s="13"/>
      <c r="S53" s="44"/>
      <c r="T53" s="32"/>
      <c r="AK53" s="33"/>
      <c r="AL53" s="34"/>
      <c r="AM53" s="31"/>
      <c r="AN53" s="13"/>
      <c r="AP53">
        <v>30</v>
      </c>
      <c r="AQ53" s="13">
        <f t="shared" si="14"/>
        <v>0</v>
      </c>
    </row>
    <row r="54" spans="14:43" x14ac:dyDescent="0.25">
      <c r="N54" s="29">
        <v>40</v>
      </c>
      <c r="O54" s="30"/>
      <c r="P54" s="31"/>
      <c r="Q54" s="13"/>
      <c r="S54" s="44"/>
      <c r="T54" s="32"/>
      <c r="AK54" s="33"/>
      <c r="AL54" s="34"/>
      <c r="AQ54" s="13"/>
    </row>
    <row r="55" spans="14:43" x14ac:dyDescent="0.25">
      <c r="N55" s="29">
        <v>41</v>
      </c>
      <c r="O55" s="30"/>
      <c r="P55" s="31"/>
      <c r="Q55" s="13"/>
      <c r="S55" s="44"/>
      <c r="T55" s="32"/>
      <c r="AK55" s="33"/>
      <c r="AL55" s="34"/>
      <c r="AQ55" s="13"/>
    </row>
    <row r="56" spans="14:43" x14ac:dyDescent="0.25">
      <c r="N56" s="29">
        <v>42</v>
      </c>
      <c r="O56" s="30"/>
      <c r="P56" s="31"/>
      <c r="Q56" s="13"/>
      <c r="S56" s="44"/>
      <c r="T56" s="32"/>
      <c r="AK56" s="33"/>
      <c r="AL56" s="34"/>
      <c r="AQ56" s="13"/>
    </row>
    <row r="57" spans="14:43" x14ac:dyDescent="0.25">
      <c r="N57" s="29">
        <v>43</v>
      </c>
      <c r="O57" s="30"/>
      <c r="P57" s="48"/>
      <c r="Q57" s="46"/>
      <c r="S57" s="44"/>
      <c r="T57" s="32"/>
      <c r="AK57" s="33"/>
      <c r="AL57" s="34"/>
      <c r="AQ57" s="13"/>
    </row>
    <row r="58" spans="14:43" x14ac:dyDescent="0.25">
      <c r="N58" s="29">
        <v>44</v>
      </c>
      <c r="O58" s="30"/>
      <c r="P58" s="31"/>
      <c r="Q58" s="13"/>
      <c r="S58" s="44"/>
      <c r="T58" s="32"/>
      <c r="AK58" s="33"/>
      <c r="AL58" s="34"/>
      <c r="AQ58" s="13"/>
    </row>
    <row r="59" spans="14:43" x14ac:dyDescent="0.25">
      <c r="N59" s="29">
        <v>45</v>
      </c>
      <c r="O59" s="30"/>
      <c r="P59" s="52"/>
      <c r="Q59" s="53"/>
      <c r="S59" s="44"/>
      <c r="T59" s="32"/>
      <c r="AK59" s="33"/>
      <c r="AL59" s="34"/>
      <c r="AQ59" s="13"/>
    </row>
    <row r="60" spans="14:43" x14ac:dyDescent="0.25">
      <c r="N60" s="29">
        <v>46</v>
      </c>
      <c r="O60" s="30"/>
      <c r="P60" s="31"/>
      <c r="Q60" s="13"/>
      <c r="S60" s="44"/>
      <c r="T60" s="32"/>
      <c r="AK60" s="33"/>
      <c r="AL60" s="34"/>
      <c r="AQ60" s="13"/>
    </row>
    <row r="61" spans="14:43" x14ac:dyDescent="0.25">
      <c r="N61" s="29">
        <v>47</v>
      </c>
      <c r="O61" s="30"/>
      <c r="P61" s="31"/>
      <c r="Q61" s="13"/>
      <c r="S61" s="44"/>
      <c r="T61" s="32"/>
      <c r="AK61" s="33"/>
      <c r="AL61" s="34"/>
      <c r="AQ61" s="13"/>
    </row>
    <row r="62" spans="14:43" x14ac:dyDescent="0.25">
      <c r="N62" s="29">
        <v>48</v>
      </c>
      <c r="O62" s="30"/>
      <c r="P62" s="31"/>
      <c r="Q62" s="13"/>
      <c r="S62" s="44"/>
      <c r="T62" s="32"/>
      <c r="AK62" s="33"/>
      <c r="AL62" s="34"/>
      <c r="AQ62" s="13"/>
    </row>
    <row r="63" spans="14:43" x14ac:dyDescent="0.25">
      <c r="N63" s="29">
        <v>49</v>
      </c>
      <c r="O63" s="30"/>
      <c r="P63" s="31"/>
      <c r="Q63" s="13"/>
      <c r="S63" s="44"/>
      <c r="T63" s="32"/>
      <c r="AK63" s="33"/>
      <c r="AL63" s="34"/>
      <c r="AQ63" s="13"/>
    </row>
    <row r="64" spans="14:43" x14ac:dyDescent="0.25">
      <c r="N64" s="29">
        <v>50</v>
      </c>
      <c r="O64" s="30"/>
      <c r="P64" s="31"/>
      <c r="Q64" s="13"/>
      <c r="S64" s="44"/>
      <c r="T64" s="32"/>
      <c r="AQ64" s="13"/>
    </row>
    <row r="65" spans="43:43" x14ac:dyDescent="0.25">
      <c r="AQ65" s="13"/>
    </row>
    <row r="66" spans="43:43" x14ac:dyDescent="0.25">
      <c r="AQ66" s="13"/>
    </row>
    <row r="67" spans="43:43" x14ac:dyDescent="0.25">
      <c r="AQ67" s="13"/>
    </row>
    <row r="68" spans="43:43" x14ac:dyDescent="0.25">
      <c r="AQ68" s="13"/>
    </row>
    <row r="69" spans="43:43" x14ac:dyDescent="0.25">
      <c r="AQ69" s="13"/>
    </row>
    <row r="70" spans="43:43" x14ac:dyDescent="0.25">
      <c r="AQ70" s="13"/>
    </row>
    <row r="71" spans="43:43" x14ac:dyDescent="0.25">
      <c r="AQ71" s="13"/>
    </row>
    <row r="72" spans="43:43" x14ac:dyDescent="0.25">
      <c r="AQ72" s="13"/>
    </row>
    <row r="73" spans="43:43" x14ac:dyDescent="0.25">
      <c r="AQ73" s="13"/>
    </row>
  </sheetData>
  <mergeCells count="4">
    <mergeCell ref="J2:N2"/>
    <mergeCell ref="O2:S2"/>
    <mergeCell ref="T2:X2"/>
    <mergeCell ref="Y2:AC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7276-EB96-4847-9AA2-29B4649D7AC1}">
  <sheetPr>
    <tabColor rgb="FFFFFF00"/>
  </sheetPr>
  <dimension ref="B1:AT88"/>
  <sheetViews>
    <sheetView topLeftCell="K40" zoomScale="70" zoomScaleNormal="70" workbookViewId="0">
      <selection activeCell="W66" sqref="W66"/>
    </sheetView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4" width="9.7109375" customWidth="1"/>
    <col min="39" max="39" width="11.42578125" bestFit="1" customWidth="1"/>
  </cols>
  <sheetData>
    <row r="1" spans="2:46" ht="15.75" thickBot="1" x14ac:dyDescent="0.3"/>
    <row r="2" spans="2:46" ht="15.75" thickBot="1" x14ac:dyDescent="0.3">
      <c r="B2" s="1" t="s">
        <v>0</v>
      </c>
      <c r="J2" s="149" t="s">
        <v>122</v>
      </c>
      <c r="K2" s="150"/>
      <c r="L2" s="150"/>
      <c r="M2" s="150"/>
      <c r="N2" s="151"/>
      <c r="O2" s="149" t="s">
        <v>123</v>
      </c>
      <c r="P2" s="150"/>
      <c r="Q2" s="150"/>
      <c r="R2" s="150"/>
      <c r="S2" s="151"/>
      <c r="T2" s="149" t="s">
        <v>124</v>
      </c>
      <c r="U2" s="150"/>
      <c r="V2" s="150"/>
      <c r="W2" s="150"/>
      <c r="X2" s="151"/>
      <c r="Y2" s="149" t="s">
        <v>125</v>
      </c>
      <c r="Z2" s="150"/>
      <c r="AA2" s="150"/>
      <c r="AB2" s="150"/>
      <c r="AC2" s="151"/>
    </row>
    <row r="3" spans="2:46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3" t="s">
        <v>14</v>
      </c>
      <c r="AE3" s="54" t="s">
        <v>15</v>
      </c>
      <c r="AF3" s="55" t="s">
        <v>16</v>
      </c>
      <c r="AG3" s="55" t="s">
        <v>17</v>
      </c>
      <c r="AH3" s="56" t="s">
        <v>18</v>
      </c>
      <c r="AJ3" t="s">
        <v>10</v>
      </c>
      <c r="AO3" t="s">
        <v>19</v>
      </c>
    </row>
    <row r="4" spans="2:46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>
        <f>Z4/Y4</f>
        <v>2621.1111111111109</v>
      </c>
      <c r="AJ4" s="13">
        <f>K4</f>
        <v>790.5</v>
      </c>
      <c r="AK4" s="13">
        <f>P4</f>
        <v>1409</v>
      </c>
      <c r="AL4" s="13">
        <f>U4</f>
        <v>1913</v>
      </c>
      <c r="AM4" s="13">
        <f>Z4</f>
        <v>2359</v>
      </c>
      <c r="AO4" s="14">
        <f>J4</f>
        <v>0.22500000000000001</v>
      </c>
      <c r="AP4" s="14">
        <f>O4</f>
        <v>0.45</v>
      </c>
      <c r="AQ4" s="14">
        <f>T4</f>
        <v>0.67500000000000004</v>
      </c>
      <c r="AR4" s="14">
        <f>Y4</f>
        <v>0.9</v>
      </c>
    </row>
    <row r="5" spans="2:46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>
        <v>3721.9047619047619</v>
      </c>
      <c r="AJ5" s="13">
        <f t="shared" ref="AJ5" si="0">K5</f>
        <v>1291</v>
      </c>
      <c r="AK5" s="13">
        <f t="shared" ref="AK5" si="1">P5</f>
        <v>2313</v>
      </c>
      <c r="AL5" s="13">
        <f t="shared" ref="AL5" si="2">U5</f>
        <v>3155</v>
      </c>
      <c r="AM5" s="13">
        <f t="shared" ref="AM5" si="3">Z5</f>
        <v>3908</v>
      </c>
      <c r="AO5" s="14">
        <f t="shared" ref="AO5" si="4">J5</f>
        <v>0.26200000000000001</v>
      </c>
      <c r="AP5" s="14">
        <f t="shared" ref="AP5" si="5">O5</f>
        <v>0.52500000000000002</v>
      </c>
      <c r="AQ5" s="14">
        <f t="shared" ref="AQ5" si="6">T5</f>
        <v>0.78700000000000003</v>
      </c>
      <c r="AR5" s="14">
        <f t="shared" ref="AR5" si="7">Y5</f>
        <v>1.05</v>
      </c>
    </row>
    <row r="6" spans="2:46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>
        <f>Z6/Y6</f>
        <v>5981.8181818181811</v>
      </c>
      <c r="AJ6" s="13">
        <f>K6</f>
        <v>1972</v>
      </c>
      <c r="AK6" s="13">
        <f>P6</f>
        <v>3663</v>
      </c>
      <c r="AL6" s="13">
        <f>U6</f>
        <v>5169</v>
      </c>
      <c r="AM6" s="13">
        <f>Z6</f>
        <v>6580</v>
      </c>
      <c r="AO6" s="14">
        <f>J6</f>
        <v>0.27500000000000002</v>
      </c>
      <c r="AP6" s="14">
        <f>O6</f>
        <v>0.55000000000000004</v>
      </c>
      <c r="AQ6" s="14">
        <f>T6</f>
        <v>0.82499999999999996</v>
      </c>
      <c r="AR6" s="14">
        <f>Y6</f>
        <v>1.1000000000000001</v>
      </c>
    </row>
    <row r="7" spans="2:46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>
        <f>Z7/Y7</f>
        <v>8821.176470588236</v>
      </c>
      <c r="AJ7" s="13">
        <f>K7</f>
        <v>2097</v>
      </c>
      <c r="AK7" s="13">
        <f>P7</f>
        <v>4003</v>
      </c>
      <c r="AL7" s="13">
        <f>U7</f>
        <v>5783</v>
      </c>
      <c r="AM7" s="13">
        <f>Z7</f>
        <v>7498</v>
      </c>
      <c r="AO7" s="14">
        <f>J7</f>
        <v>0.21199999999999999</v>
      </c>
      <c r="AP7" s="14">
        <f>O7</f>
        <v>0.42499999999999999</v>
      </c>
      <c r="AQ7" s="14">
        <f>T7</f>
        <v>0.63700000000000001</v>
      </c>
      <c r="AR7" s="14">
        <f>Y7</f>
        <v>0.85</v>
      </c>
    </row>
    <row r="8" spans="2:46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>
        <f t="shared" ref="AH8" si="11">Z8/Y8</f>
        <v>10738.666666666666</v>
      </c>
      <c r="AJ8" s="13">
        <f>K8</f>
        <v>2199</v>
      </c>
      <c r="AK8" s="13">
        <f>P8</f>
        <v>4239</v>
      </c>
      <c r="AL8" s="13">
        <f>U8</f>
        <v>6173</v>
      </c>
      <c r="AM8" s="13">
        <f>Z8</f>
        <v>8054</v>
      </c>
      <c r="AO8" s="14">
        <f>J8</f>
        <v>0.187</v>
      </c>
      <c r="AP8" s="14">
        <f>O8</f>
        <v>0.375</v>
      </c>
      <c r="AQ8" s="14">
        <f>T8</f>
        <v>0.56200000000000006</v>
      </c>
      <c r="AR8" s="14">
        <f>Y8</f>
        <v>0.75</v>
      </c>
    </row>
    <row r="9" spans="2:4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</row>
    <row r="10" spans="2:46" x14ac:dyDescent="0.25">
      <c r="N10" s="15" t="s">
        <v>71</v>
      </c>
      <c r="O10" s="16">
        <v>1.2</v>
      </c>
      <c r="Q10" s="47" t="s">
        <v>102</v>
      </c>
      <c r="R10" s="16">
        <v>24</v>
      </c>
    </row>
    <row r="11" spans="2:46" x14ac:dyDescent="0.25">
      <c r="AH11" s="22"/>
      <c r="AK11" s="20" t="s">
        <v>75</v>
      </c>
      <c r="AL11" s="18"/>
      <c r="AM11" s="18"/>
      <c r="AN11" s="19"/>
      <c r="AP11" s="1" t="s">
        <v>76</v>
      </c>
    </row>
    <row r="12" spans="2:46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AH12" s="1"/>
      <c r="AK12" s="25" t="s">
        <v>79</v>
      </c>
      <c r="AL12" s="26" t="s">
        <v>80</v>
      </c>
      <c r="AM12" s="26"/>
      <c r="AN12" s="27"/>
    </row>
    <row r="13" spans="2:46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AG13" s="1"/>
      <c r="AH13" s="13"/>
      <c r="AI13" s="13"/>
      <c r="AK13" s="33"/>
      <c r="AL13" s="34"/>
      <c r="AM13" s="31"/>
      <c r="AN13" s="13"/>
      <c r="AP13">
        <v>-10</v>
      </c>
      <c r="AQ13" s="13">
        <f>IF(AP13&lt;$C$13,0,(AP13-$C$13)*$C$14)</f>
        <v>0</v>
      </c>
      <c r="AS13" s="13"/>
      <c r="AT13" s="13"/>
    </row>
    <row r="14" spans="2:46" x14ac:dyDescent="0.25">
      <c r="B14" s="23" t="s">
        <v>84</v>
      </c>
      <c r="C14">
        <v>0</v>
      </c>
      <c r="D14" t="s">
        <v>85</v>
      </c>
      <c r="L14" s="24"/>
      <c r="N14" s="29">
        <v>0</v>
      </c>
      <c r="O14" s="30">
        <v>0</v>
      </c>
      <c r="P14" s="31">
        <f t="shared" ref="P14:P34" si="12">N14*$O$10</f>
        <v>0</v>
      </c>
      <c r="Q14" s="13">
        <f t="shared" ref="Q14:Q34" si="13">O14/($O$10)</f>
        <v>0</v>
      </c>
      <c r="S14" s="32">
        <v>0</v>
      </c>
      <c r="T14" s="32">
        <v>0</v>
      </c>
      <c r="AG14" s="13"/>
      <c r="AH14" s="13"/>
      <c r="AI14" s="13"/>
      <c r="AK14" s="33"/>
      <c r="AL14" s="34"/>
      <c r="AM14" s="31"/>
      <c r="AN14" s="13"/>
      <c r="AP14">
        <v>-9</v>
      </c>
      <c r="AQ14" s="13">
        <f t="shared" ref="AQ14:AQ53" si="14">IF(AP14&lt;$C$13,0,(AP14-$C$13)*$C$14)</f>
        <v>0</v>
      </c>
      <c r="AS14" s="13"/>
      <c r="AT14" s="13"/>
    </row>
    <row r="15" spans="2:46" x14ac:dyDescent="0.25">
      <c r="B15" s="35"/>
      <c r="L15" s="24"/>
      <c r="N15" s="29">
        <v>1</v>
      </c>
      <c r="O15" s="30">
        <v>3.2421680348077935E-12</v>
      </c>
      <c r="P15" s="31">
        <f t="shared" si="12"/>
        <v>1.2</v>
      </c>
      <c r="Q15" s="13">
        <f t="shared" si="13"/>
        <v>2.7018066956731615E-12</v>
      </c>
      <c r="S15" s="32">
        <v>1</v>
      </c>
      <c r="T15" s="32">
        <v>0</v>
      </c>
      <c r="AG15" s="13"/>
      <c r="AH15" s="13"/>
      <c r="AI15" s="13"/>
      <c r="AK15" s="33"/>
      <c r="AL15" s="34"/>
      <c r="AM15" s="31"/>
      <c r="AN15" s="13"/>
      <c r="AP15">
        <v>-8</v>
      </c>
      <c r="AQ15" s="13">
        <f t="shared" si="14"/>
        <v>0</v>
      </c>
      <c r="AS15" s="13"/>
      <c r="AT15" s="13"/>
    </row>
    <row r="16" spans="2:46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8.6477959460242302E-9</v>
      </c>
      <c r="P16" s="31">
        <f t="shared" si="12"/>
        <v>2.4</v>
      </c>
      <c r="Q16" s="13">
        <f t="shared" si="13"/>
        <v>7.2064966216868588E-9</v>
      </c>
      <c r="S16" s="32">
        <v>2</v>
      </c>
      <c r="T16" s="32">
        <v>0</v>
      </c>
      <c r="AG16" s="13"/>
      <c r="AH16" s="13"/>
      <c r="AI16" s="13"/>
      <c r="AK16" s="33"/>
      <c r="AL16" s="34"/>
      <c r="AM16" s="31"/>
      <c r="AN16" s="13"/>
      <c r="AP16">
        <v>-7</v>
      </c>
      <c r="AQ16" s="13">
        <f t="shared" si="14"/>
        <v>0</v>
      </c>
      <c r="AS16" s="13"/>
      <c r="AT16" s="13"/>
    </row>
    <row r="17" spans="2:46" x14ac:dyDescent="0.25">
      <c r="B17" s="35">
        <v>0</v>
      </c>
      <c r="C17" t="s">
        <v>95</v>
      </c>
      <c r="G17" s="36">
        <v>19</v>
      </c>
      <c r="H17">
        <v>0</v>
      </c>
      <c r="I17">
        <v>0</v>
      </c>
      <c r="J17">
        <f>G17</f>
        <v>19</v>
      </c>
      <c r="K17">
        <v>0</v>
      </c>
      <c r="L17" s="24"/>
      <c r="N17" s="29">
        <v>3</v>
      </c>
      <c r="O17" s="30">
        <v>8.7302736692887454E-7</v>
      </c>
      <c r="P17" s="31">
        <f t="shared" si="12"/>
        <v>3.5999999999999996</v>
      </c>
      <c r="Q17" s="13">
        <f t="shared" si="13"/>
        <v>7.2752280577406217E-7</v>
      </c>
      <c r="S17" s="32">
        <v>3</v>
      </c>
      <c r="T17" s="32">
        <v>0</v>
      </c>
      <c r="AG17" s="13"/>
      <c r="AH17" s="13"/>
      <c r="AI17" s="13"/>
      <c r="AK17" s="33"/>
      <c r="AL17" s="34"/>
      <c r="AM17" s="31"/>
      <c r="AN17" s="13"/>
      <c r="AP17">
        <v>-6</v>
      </c>
      <c r="AQ17" s="13">
        <f t="shared" si="14"/>
        <v>0</v>
      </c>
      <c r="AS17" s="13"/>
      <c r="AT17" s="13"/>
    </row>
    <row r="18" spans="2:46" x14ac:dyDescent="0.25">
      <c r="B18" s="35">
        <v>1</v>
      </c>
      <c r="C18" s="37" t="str">
        <f>B4</f>
        <v>18 0011</v>
      </c>
      <c r="D18" s="36">
        <v>10</v>
      </c>
      <c r="E18" s="36">
        <v>1</v>
      </c>
      <c r="F18" s="38">
        <v>0.3</v>
      </c>
      <c r="G18" s="14">
        <f>F18*D18</f>
        <v>3</v>
      </c>
      <c r="H18" s="39">
        <f>AF4*F18*E18</f>
        <v>939.33333333333326</v>
      </c>
      <c r="I18" s="13">
        <f>H18/G18</f>
        <v>313.11111111111109</v>
      </c>
      <c r="J18" s="40">
        <f>G4*D18+((E18-1)*D18*E4)</f>
        <v>21.5</v>
      </c>
      <c r="K18" s="31">
        <f>J18-G18</f>
        <v>18.5</v>
      </c>
      <c r="L18" s="24"/>
      <c r="N18" s="29">
        <v>4</v>
      </c>
      <c r="O18" s="30">
        <v>2.3066162494106067E-5</v>
      </c>
      <c r="P18" s="31">
        <f t="shared" si="12"/>
        <v>4.8</v>
      </c>
      <c r="Q18" s="13">
        <f t="shared" si="13"/>
        <v>1.9221802078421724E-5</v>
      </c>
      <c r="S18" s="32">
        <v>4</v>
      </c>
      <c r="T18" s="32">
        <v>0</v>
      </c>
      <c r="AG18" s="13"/>
      <c r="AH18" s="13"/>
      <c r="AI18" s="13"/>
      <c r="AK18" s="33"/>
      <c r="AL18" s="34"/>
      <c r="AM18" s="31"/>
      <c r="AN18" s="13"/>
      <c r="AP18">
        <v>-5</v>
      </c>
      <c r="AQ18" s="13">
        <f t="shared" si="14"/>
        <v>0</v>
      </c>
      <c r="AS18" s="13"/>
      <c r="AT18" s="13"/>
    </row>
    <row r="19" spans="2:46" x14ac:dyDescent="0.25">
      <c r="B19" s="35">
        <v>2</v>
      </c>
      <c r="C19" s="37" t="str">
        <f>B5</f>
        <v>18 0019</v>
      </c>
      <c r="D19" s="36">
        <v>12</v>
      </c>
      <c r="E19" s="36">
        <v>2</v>
      </c>
      <c r="F19" s="38">
        <v>0.53</v>
      </c>
      <c r="G19" s="14">
        <f>F19*D19</f>
        <v>6.36</v>
      </c>
      <c r="H19" s="39">
        <f>AF5*F19*E19</f>
        <v>4670.0571428571429</v>
      </c>
      <c r="I19" s="13">
        <f>H19/G19</f>
        <v>734.28571428571422</v>
      </c>
      <c r="J19" s="40">
        <f>G5*D19+((E19-1)*D19*E5)</f>
        <v>48.599999999999994</v>
      </c>
      <c r="K19" s="31">
        <f>J19-G19</f>
        <v>42.239999999999995</v>
      </c>
      <c r="L19" s="24"/>
      <c r="N19" s="29">
        <v>5</v>
      </c>
      <c r="O19" s="30">
        <v>2.9236373905383676E-4</v>
      </c>
      <c r="P19" s="31">
        <f t="shared" si="12"/>
        <v>6</v>
      </c>
      <c r="Q19" s="13">
        <f t="shared" si="13"/>
        <v>2.4363644921153064E-4</v>
      </c>
      <c r="S19" s="32">
        <v>5</v>
      </c>
      <c r="T19" s="32">
        <v>0</v>
      </c>
      <c r="AG19" s="13"/>
      <c r="AH19" s="13"/>
      <c r="AI19" s="13"/>
      <c r="AK19" s="33"/>
      <c r="AL19" s="34"/>
      <c r="AM19" s="31"/>
      <c r="AN19" s="13"/>
      <c r="AP19">
        <v>-4</v>
      </c>
      <c r="AQ19" s="13">
        <f t="shared" si="14"/>
        <v>0</v>
      </c>
      <c r="AS19" s="13"/>
      <c r="AT19" s="13"/>
    </row>
    <row r="20" spans="2:46" x14ac:dyDescent="0.25">
      <c r="B20" s="35"/>
      <c r="L20" s="24"/>
      <c r="N20" s="29">
        <v>6</v>
      </c>
      <c r="O20" s="30">
        <v>2.3286154336979981E-3</v>
      </c>
      <c r="P20" s="31">
        <f t="shared" si="12"/>
        <v>7.1999999999999993</v>
      </c>
      <c r="Q20" s="13">
        <f t="shared" si="13"/>
        <v>1.9405128614149985E-3</v>
      </c>
      <c r="S20" s="32">
        <v>6</v>
      </c>
      <c r="T20" s="32">
        <v>0</v>
      </c>
      <c r="AG20" s="13"/>
      <c r="AH20" s="13"/>
      <c r="AI20" s="13"/>
      <c r="AK20" s="33"/>
      <c r="AL20" s="34"/>
      <c r="AM20" s="31"/>
      <c r="AN20" s="13"/>
      <c r="AP20">
        <v>-3</v>
      </c>
      <c r="AQ20" s="13">
        <f t="shared" si="14"/>
        <v>0</v>
      </c>
      <c r="AS20" s="13"/>
      <c r="AT20" s="13"/>
    </row>
    <row r="21" spans="2:46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89.1</v>
      </c>
      <c r="K21" s="43">
        <f>SUM(K17:K19)</f>
        <v>60.739999999999995</v>
      </c>
      <c r="L21" s="24"/>
      <c r="N21" s="29">
        <v>7</v>
      </c>
      <c r="O21" s="30">
        <v>1.3459525678131242E-2</v>
      </c>
      <c r="P21" s="31">
        <f t="shared" si="12"/>
        <v>8.4</v>
      </c>
      <c r="Q21" s="13">
        <f t="shared" si="13"/>
        <v>1.1216271398442702E-2</v>
      </c>
      <c r="S21" s="32">
        <v>7</v>
      </c>
      <c r="T21" s="32">
        <v>0</v>
      </c>
      <c r="AG21" s="13"/>
      <c r="AH21" s="13"/>
      <c r="AI21" s="13"/>
      <c r="AK21" s="33"/>
      <c r="AL21" s="34"/>
      <c r="AM21" s="31"/>
      <c r="AN21" s="13"/>
      <c r="AP21">
        <v>-2</v>
      </c>
      <c r="AQ21" s="13">
        <f t="shared" si="14"/>
        <v>0</v>
      </c>
      <c r="AS21" s="13"/>
      <c r="AT21" s="13"/>
    </row>
    <row r="22" spans="2:46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6.1524098802205288E-2</v>
      </c>
      <c r="P22" s="31">
        <f t="shared" si="12"/>
        <v>9.6</v>
      </c>
      <c r="Q22" s="13">
        <f t="shared" si="13"/>
        <v>5.1270082335171073E-2</v>
      </c>
      <c r="S22" s="32">
        <v>8</v>
      </c>
      <c r="T22" s="32">
        <v>0</v>
      </c>
      <c r="AG22" s="13"/>
      <c r="AH22" s="13"/>
      <c r="AI22" s="13"/>
      <c r="AK22" s="33"/>
      <c r="AL22" s="34"/>
      <c r="AM22" s="31"/>
      <c r="AN22" s="13"/>
      <c r="AP22">
        <v>-1</v>
      </c>
      <c r="AQ22" s="13">
        <f t="shared" si="14"/>
        <v>0</v>
      </c>
      <c r="AS22" s="13"/>
      <c r="AT22" s="13"/>
    </row>
    <row r="23" spans="2:46" x14ac:dyDescent="0.25">
      <c r="B23" s="35" t="s">
        <v>101</v>
      </c>
      <c r="C23">
        <v>0</v>
      </c>
      <c r="F23">
        <f>G17</f>
        <v>19</v>
      </c>
      <c r="G23" s="13">
        <f>C23+(F23-$C$13)*($C$14)</f>
        <v>0</v>
      </c>
      <c r="H23" s="50" t="s">
        <v>104</v>
      </c>
      <c r="J23" s="31"/>
      <c r="L23" s="24"/>
      <c r="N23" s="29">
        <v>9</v>
      </c>
      <c r="O23" s="30">
        <v>0.23508244336014131</v>
      </c>
      <c r="P23" s="31">
        <f t="shared" si="12"/>
        <v>10.799999999999999</v>
      </c>
      <c r="Q23" s="13">
        <f t="shared" si="13"/>
        <v>0.19590203613345109</v>
      </c>
      <c r="S23" s="32">
        <v>9</v>
      </c>
      <c r="T23" s="32">
        <v>0</v>
      </c>
      <c r="AG23" s="13"/>
      <c r="AH23" s="13"/>
      <c r="AI23" s="13"/>
      <c r="AK23" s="33"/>
      <c r="AL23" s="34"/>
      <c r="AM23" s="31"/>
      <c r="AN23" s="13"/>
      <c r="AP23">
        <v>0</v>
      </c>
      <c r="AQ23" s="13">
        <f t="shared" si="14"/>
        <v>0</v>
      </c>
      <c r="AS23" s="13"/>
      <c r="AT23" s="13"/>
    </row>
    <row r="24" spans="2:46" x14ac:dyDescent="0.25">
      <c r="B24" s="35">
        <v>1</v>
      </c>
      <c r="C24" s="13">
        <f>H18</f>
        <v>939.33333333333326</v>
      </c>
      <c r="D24" s="13">
        <f>I18*I19/(I18+I19)</f>
        <v>219.50898675476614</v>
      </c>
      <c r="E24" s="31">
        <f>C24/D24</f>
        <v>4.2792477302204928</v>
      </c>
      <c r="F24" s="31">
        <f>F23+E24</f>
        <v>23.279247730220494</v>
      </c>
      <c r="G24" s="13">
        <f>C24+(F24-$C$13)*($C$14)</f>
        <v>939.33333333333326</v>
      </c>
      <c r="H24" s="51" t="s">
        <v>105</v>
      </c>
      <c r="L24" s="24"/>
      <c r="N24" s="29">
        <v>10</v>
      </c>
      <c r="O24" s="30">
        <v>0.77981829757449717</v>
      </c>
      <c r="P24" s="31">
        <f t="shared" si="12"/>
        <v>12</v>
      </c>
      <c r="Q24" s="13">
        <f t="shared" si="13"/>
        <v>0.64984858131208101</v>
      </c>
      <c r="S24" s="32">
        <v>10</v>
      </c>
      <c r="T24" s="32">
        <v>0</v>
      </c>
      <c r="AG24" s="13"/>
      <c r="AH24" s="13"/>
      <c r="AI24" s="13"/>
      <c r="AK24" s="33"/>
      <c r="AL24" s="34"/>
      <c r="AM24" s="31"/>
      <c r="AN24" s="13"/>
      <c r="AP24">
        <v>1</v>
      </c>
      <c r="AQ24" s="13">
        <f t="shared" si="14"/>
        <v>0</v>
      </c>
      <c r="AS24" s="13"/>
      <c r="AT24" s="13"/>
    </row>
    <row r="25" spans="2:46" x14ac:dyDescent="0.25">
      <c r="B25" s="35">
        <v>2</v>
      </c>
      <c r="C25" s="13">
        <f>H19</f>
        <v>4670.0571428571429</v>
      </c>
      <c r="D25" s="13">
        <f>I19</f>
        <v>734.28571428571422</v>
      </c>
      <c r="E25" s="31">
        <f>(C25-C24)/D25</f>
        <v>5.0807522697795084</v>
      </c>
      <c r="F25" s="31">
        <f>F24+E25</f>
        <v>28.360000000000003</v>
      </c>
      <c r="G25" s="13">
        <f>C25+(F25-$C$13)*($C$14)</f>
        <v>4670.0571428571429</v>
      </c>
      <c r="H25" s="51" t="s">
        <v>106</v>
      </c>
      <c r="L25" s="24"/>
      <c r="N25" s="29">
        <v>11</v>
      </c>
      <c r="O25" s="30">
        <v>2.3072258398733303</v>
      </c>
      <c r="P25" s="31">
        <f t="shared" si="12"/>
        <v>13.2</v>
      </c>
      <c r="Q25" s="13">
        <f t="shared" si="13"/>
        <v>1.9226881998944421</v>
      </c>
      <c r="S25" s="32">
        <v>11</v>
      </c>
      <c r="T25" s="32">
        <v>0</v>
      </c>
      <c r="AG25" s="13"/>
      <c r="AH25" s="13"/>
      <c r="AI25" s="13"/>
      <c r="AK25" s="33"/>
      <c r="AL25" s="34"/>
      <c r="AM25" s="31"/>
      <c r="AN25" s="13"/>
      <c r="AP25">
        <v>2</v>
      </c>
      <c r="AQ25" s="13">
        <f t="shared" si="14"/>
        <v>0</v>
      </c>
      <c r="AS25" s="13"/>
      <c r="AT25" s="13"/>
    </row>
    <row r="26" spans="2:46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6.2110880408383373</v>
      </c>
      <c r="P26" s="31">
        <f t="shared" si="12"/>
        <v>14.399999999999999</v>
      </c>
      <c r="Q26" s="13">
        <f t="shared" si="13"/>
        <v>5.175906700698615</v>
      </c>
      <c r="S26" s="32">
        <v>12</v>
      </c>
      <c r="T26" s="32">
        <v>0</v>
      </c>
      <c r="AG26" s="13"/>
      <c r="AH26" s="13"/>
      <c r="AI26" s="13"/>
      <c r="AK26" s="33"/>
      <c r="AL26" s="34"/>
      <c r="AM26" s="31"/>
      <c r="AN26" s="13"/>
      <c r="AP26">
        <v>3</v>
      </c>
      <c r="AQ26" s="13">
        <f t="shared" si="14"/>
        <v>0</v>
      </c>
      <c r="AS26" s="13"/>
      <c r="AT26" s="13"/>
    </row>
    <row r="27" spans="2:46" x14ac:dyDescent="0.25">
      <c r="N27" s="29">
        <v>13</v>
      </c>
      <c r="O27" s="30">
        <v>15.445454969933266</v>
      </c>
      <c r="P27" s="31">
        <f t="shared" si="12"/>
        <v>15.6</v>
      </c>
      <c r="Q27" s="13">
        <f t="shared" si="13"/>
        <v>12.871212474944389</v>
      </c>
      <c r="S27" s="32">
        <v>13</v>
      </c>
      <c r="T27" s="32">
        <v>0</v>
      </c>
      <c r="AG27" s="13"/>
      <c r="AH27" s="13"/>
      <c r="AI27" s="13"/>
      <c r="AK27" s="33"/>
      <c r="AL27" s="34"/>
      <c r="AM27" s="31"/>
      <c r="AN27" s="13"/>
      <c r="AP27">
        <v>4</v>
      </c>
      <c r="AQ27" s="13">
        <f t="shared" si="14"/>
        <v>0</v>
      </c>
      <c r="AS27" s="13"/>
      <c r="AT27" s="13"/>
    </row>
    <row r="28" spans="2:46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35.900431546155929</v>
      </c>
      <c r="P28" s="31">
        <f t="shared" si="12"/>
        <v>16.8</v>
      </c>
      <c r="Q28" s="13">
        <f t="shared" si="13"/>
        <v>29.917026288463276</v>
      </c>
      <c r="S28" s="32">
        <v>14</v>
      </c>
      <c r="T28" s="32">
        <v>0</v>
      </c>
      <c r="AG28" s="13"/>
      <c r="AH28" s="13"/>
      <c r="AI28" s="13"/>
      <c r="AK28" s="33"/>
      <c r="AL28" s="34"/>
      <c r="AM28" s="31"/>
      <c r="AN28" s="13"/>
      <c r="AP28">
        <v>5</v>
      </c>
      <c r="AQ28" s="13">
        <f t="shared" si="14"/>
        <v>0</v>
      </c>
      <c r="AS28" s="13"/>
      <c r="AT28" s="13"/>
    </row>
    <row r="29" spans="2:46" x14ac:dyDescent="0.25">
      <c r="B29" s="23" t="s">
        <v>107</v>
      </c>
      <c r="L29" s="24"/>
      <c r="N29" s="29">
        <v>15</v>
      </c>
      <c r="O29" s="30">
        <v>78.72557577256579</v>
      </c>
      <c r="P29" s="31">
        <f t="shared" si="12"/>
        <v>18</v>
      </c>
      <c r="Q29" s="13">
        <f t="shared" si="13"/>
        <v>65.604646477138161</v>
      </c>
      <c r="S29" s="32">
        <v>15</v>
      </c>
      <c r="T29" s="32">
        <v>0</v>
      </c>
      <c r="AG29" s="13"/>
      <c r="AH29" s="13"/>
      <c r="AI29" s="13"/>
      <c r="AK29" s="33"/>
      <c r="AL29" s="34"/>
      <c r="AM29" s="31"/>
      <c r="AN29" s="13"/>
      <c r="AP29">
        <v>6</v>
      </c>
      <c r="AQ29" s="13">
        <f t="shared" si="14"/>
        <v>0</v>
      </c>
      <c r="AS29" s="13"/>
      <c r="AT29" s="13"/>
    </row>
    <row r="30" spans="2:46" x14ac:dyDescent="0.25">
      <c r="B30" s="23" t="s">
        <v>121</v>
      </c>
      <c r="L30" s="24"/>
      <c r="N30" s="29">
        <v>16</v>
      </c>
      <c r="O30" s="30">
        <v>164.10249144783981</v>
      </c>
      <c r="P30" s="31">
        <f t="shared" si="12"/>
        <v>19.2</v>
      </c>
      <c r="Q30" s="13">
        <f t="shared" si="13"/>
        <v>136.75207620653319</v>
      </c>
      <c r="S30" s="32">
        <v>16</v>
      </c>
      <c r="T30" s="32">
        <v>0</v>
      </c>
      <c r="AG30" s="13"/>
      <c r="AH30" s="13"/>
      <c r="AI30" s="13"/>
      <c r="AK30" s="33"/>
      <c r="AL30" s="34"/>
      <c r="AM30" s="31"/>
      <c r="AN30" s="13"/>
      <c r="AP30">
        <v>7</v>
      </c>
      <c r="AQ30" s="13">
        <f t="shared" si="14"/>
        <v>0</v>
      </c>
      <c r="AS30" s="13"/>
      <c r="AT30" s="13"/>
    </row>
    <row r="31" spans="2:46" x14ac:dyDescent="0.25">
      <c r="B31" s="23" t="s">
        <v>108</v>
      </c>
      <c r="L31" s="24"/>
      <c r="N31" s="29">
        <v>17</v>
      </c>
      <c r="O31" s="30">
        <v>327.16661727882996</v>
      </c>
      <c r="P31" s="31">
        <f t="shared" si="12"/>
        <v>20.399999999999999</v>
      </c>
      <c r="Q31" s="13">
        <f t="shared" si="13"/>
        <v>272.63884773235833</v>
      </c>
      <c r="S31" s="32">
        <v>17</v>
      </c>
      <c r="T31" s="32">
        <v>0</v>
      </c>
      <c r="AG31" s="13"/>
      <c r="AH31" s="13"/>
      <c r="AI31" s="13"/>
      <c r="AK31" s="33"/>
      <c r="AL31" s="34"/>
      <c r="AM31" s="31"/>
      <c r="AN31" s="13"/>
      <c r="AP31">
        <v>8</v>
      </c>
      <c r="AQ31" s="13">
        <f t="shared" si="14"/>
        <v>0</v>
      </c>
      <c r="AS31" s="13"/>
      <c r="AT31" s="13"/>
    </row>
    <row r="32" spans="2:46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627.03258401343851</v>
      </c>
      <c r="P32" s="31">
        <f t="shared" si="12"/>
        <v>21.599999999999998</v>
      </c>
      <c r="Q32" s="13">
        <f t="shared" si="13"/>
        <v>522.52715334453217</v>
      </c>
      <c r="S32" s="32">
        <v>18</v>
      </c>
      <c r="T32" s="32">
        <v>0</v>
      </c>
      <c r="AG32" s="13"/>
      <c r="AH32" s="13"/>
      <c r="AI32" s="13"/>
      <c r="AK32" s="33"/>
      <c r="AL32" s="34"/>
      <c r="AM32" s="31"/>
      <c r="AN32" s="13"/>
      <c r="AP32">
        <v>9</v>
      </c>
      <c r="AQ32" s="13">
        <f t="shared" si="14"/>
        <v>0</v>
      </c>
      <c r="AS32" s="13"/>
      <c r="AT32" s="13"/>
    </row>
    <row r="33" spans="2:46" x14ac:dyDescent="0.25">
      <c r="B33" s="35"/>
      <c r="G33" s="36"/>
      <c r="L33" s="24"/>
      <c r="N33" s="29">
        <v>19</v>
      </c>
      <c r="O33" s="30">
        <v>1160.1981517432253</v>
      </c>
      <c r="P33" s="31">
        <f t="shared" si="12"/>
        <v>22.8</v>
      </c>
      <c r="Q33" s="13">
        <f t="shared" si="13"/>
        <v>966.83179311935442</v>
      </c>
      <c r="S33" s="32">
        <v>19</v>
      </c>
      <c r="T33" s="32">
        <v>129.64134629226299</v>
      </c>
      <c r="AG33" s="13"/>
      <c r="AH33" s="13"/>
      <c r="AI33" s="13"/>
      <c r="AK33" s="33"/>
      <c r="AL33" s="34"/>
      <c r="AM33" s="31"/>
      <c r="AN33" s="13"/>
      <c r="AP33">
        <v>10</v>
      </c>
      <c r="AQ33" s="13">
        <f t="shared" si="14"/>
        <v>0</v>
      </c>
      <c r="AS33" s="13"/>
      <c r="AT33" s="13"/>
    </row>
    <row r="34" spans="2:46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2080</v>
      </c>
      <c r="P34" s="31">
        <f t="shared" si="12"/>
        <v>24</v>
      </c>
      <c r="Q34" s="13">
        <f t="shared" si="13"/>
        <v>1733.3333333333335</v>
      </c>
      <c r="S34" s="32">
        <v>20</v>
      </c>
      <c r="T34" s="32">
        <v>335.468840212928</v>
      </c>
      <c r="AG34" s="13"/>
      <c r="AH34" s="13"/>
      <c r="AI34" s="13"/>
      <c r="AK34" s="33"/>
      <c r="AL34" s="34"/>
      <c r="AM34" s="31"/>
      <c r="AN34" s="13"/>
      <c r="AP34">
        <v>11</v>
      </c>
      <c r="AQ34" s="13">
        <f t="shared" si="14"/>
        <v>0</v>
      </c>
      <c r="AS34" s="13"/>
      <c r="AT34" s="13"/>
    </row>
    <row r="35" spans="2:46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/>
      <c r="P35" s="31"/>
      <c r="Q35" s="13"/>
      <c r="S35" s="32">
        <v>21</v>
      </c>
      <c r="T35" s="32">
        <v>541.29633413359204</v>
      </c>
      <c r="AG35" s="13"/>
      <c r="AH35" s="13"/>
      <c r="AI35" s="13"/>
      <c r="AK35" s="33"/>
      <c r="AL35" s="34"/>
      <c r="AM35" s="31"/>
      <c r="AN35" s="13"/>
      <c r="AP35">
        <v>12</v>
      </c>
      <c r="AQ35" s="13">
        <f t="shared" si="14"/>
        <v>0</v>
      </c>
      <c r="AS35" s="13"/>
      <c r="AT35" s="13"/>
    </row>
    <row r="36" spans="2:46" x14ac:dyDescent="0.25">
      <c r="B36" s="35"/>
      <c r="L36" s="24"/>
      <c r="N36" s="29">
        <v>22</v>
      </c>
      <c r="O36" s="30"/>
      <c r="P36" s="31"/>
      <c r="Q36" s="13"/>
      <c r="S36" s="32">
        <v>22</v>
      </c>
      <c r="T36" s="32">
        <v>747.12382805425705</v>
      </c>
      <c r="AG36" s="13"/>
      <c r="AH36" s="13"/>
      <c r="AI36" s="13"/>
      <c r="AK36" s="33"/>
      <c r="AL36" s="34"/>
      <c r="AM36" s="31"/>
      <c r="AN36" s="13"/>
      <c r="AP36">
        <v>13</v>
      </c>
      <c r="AQ36" s="13">
        <f t="shared" si="14"/>
        <v>0</v>
      </c>
      <c r="AS36" s="13"/>
      <c r="AT36" s="13"/>
    </row>
    <row r="37" spans="2:46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/>
      <c r="P37" s="31"/>
      <c r="Q37" s="13"/>
      <c r="S37" s="32">
        <v>23</v>
      </c>
      <c r="T37" s="32">
        <v>954.16910622789806</v>
      </c>
      <c r="AG37" s="13"/>
      <c r="AH37" s="13"/>
      <c r="AI37" s="13"/>
      <c r="AK37" s="33"/>
      <c r="AL37" s="34"/>
      <c r="AM37" s="31"/>
      <c r="AN37" s="13"/>
      <c r="AP37">
        <v>14</v>
      </c>
      <c r="AQ37" s="13">
        <f t="shared" si="14"/>
        <v>0</v>
      </c>
      <c r="AS37" s="13"/>
      <c r="AT37" s="13"/>
    </row>
    <row r="38" spans="2:46" x14ac:dyDescent="0.25">
      <c r="B38" s="35"/>
      <c r="G38" s="13"/>
      <c r="L38" s="24"/>
      <c r="N38" s="29">
        <v>24</v>
      </c>
      <c r="O38" s="30"/>
      <c r="P38" s="31"/>
      <c r="Q38" s="13"/>
      <c r="S38" s="32">
        <v>24</v>
      </c>
      <c r="T38" s="32">
        <v>1642.49363867685</v>
      </c>
      <c r="AG38" s="13"/>
      <c r="AH38" s="13"/>
      <c r="AI38" s="13"/>
      <c r="AK38" s="33"/>
      <c r="AL38" s="34"/>
      <c r="AM38" s="31"/>
      <c r="AN38" s="13"/>
      <c r="AP38">
        <v>15</v>
      </c>
      <c r="AQ38" s="13">
        <f t="shared" si="14"/>
        <v>0</v>
      </c>
      <c r="AS38" s="13"/>
      <c r="AT38" s="13"/>
    </row>
    <row r="39" spans="2:46" x14ac:dyDescent="0.25">
      <c r="B39" s="35"/>
      <c r="G39" s="13"/>
      <c r="J39" s="31"/>
      <c r="L39" s="24"/>
      <c r="N39" s="29">
        <v>25</v>
      </c>
      <c r="O39" s="30"/>
      <c r="P39" s="31"/>
      <c r="Q39" s="13"/>
      <c r="S39" s="44">
        <v>25</v>
      </c>
      <c r="T39" s="32">
        <v>2463.7404580152702</v>
      </c>
      <c r="AE39" s="13"/>
      <c r="AF39" s="13"/>
      <c r="AG39" s="13"/>
      <c r="AH39" s="13"/>
      <c r="AI39" s="13"/>
      <c r="AK39" s="33"/>
      <c r="AL39" s="34"/>
      <c r="AM39" s="31"/>
      <c r="AN39" s="13"/>
      <c r="AP39">
        <v>16</v>
      </c>
      <c r="AQ39" s="13">
        <f t="shared" si="14"/>
        <v>0</v>
      </c>
      <c r="AS39" s="13"/>
      <c r="AT39" s="13"/>
    </row>
    <row r="40" spans="2:46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/>
      <c r="P40" s="31"/>
      <c r="Q40" s="13"/>
      <c r="S40" s="44">
        <v>26</v>
      </c>
      <c r="T40" s="32">
        <v>3136.3929024081099</v>
      </c>
      <c r="AE40" s="13"/>
      <c r="AF40" s="13"/>
      <c r="AG40" s="13"/>
      <c r="AH40" s="13"/>
      <c r="AI40" s="13"/>
      <c r="AK40" s="33"/>
      <c r="AL40" s="34"/>
      <c r="AM40" s="31"/>
      <c r="AN40" s="13"/>
      <c r="AP40">
        <v>17</v>
      </c>
      <c r="AQ40" s="13">
        <f t="shared" si="14"/>
        <v>0</v>
      </c>
      <c r="AS40" s="13"/>
      <c r="AT40" s="13"/>
    </row>
    <row r="41" spans="2:46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/>
      <c r="P41" s="31"/>
      <c r="Q41" s="13"/>
      <c r="S41" s="44">
        <v>27</v>
      </c>
      <c r="T41" s="32">
        <v>3784.0481622306702</v>
      </c>
      <c r="AE41" s="13"/>
      <c r="AF41" s="13"/>
      <c r="AG41" s="13"/>
      <c r="AH41" s="13"/>
      <c r="AI41" s="13"/>
      <c r="AK41" s="33"/>
      <c r="AL41" s="34"/>
      <c r="AM41" s="31"/>
      <c r="AN41" s="13"/>
      <c r="AP41">
        <v>18</v>
      </c>
      <c r="AQ41" s="13">
        <f t="shared" si="14"/>
        <v>0</v>
      </c>
      <c r="AS41" s="13"/>
      <c r="AT41" s="13"/>
    </row>
    <row r="42" spans="2:46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/>
      <c r="P42" s="31"/>
      <c r="Q42" s="13"/>
      <c r="S42" s="44">
        <v>28</v>
      </c>
      <c r="T42" s="32">
        <v>4431.7034220532296</v>
      </c>
      <c r="AE42" s="13"/>
      <c r="AF42" s="13"/>
      <c r="AG42" s="13"/>
      <c r="AH42" s="13"/>
      <c r="AI42" s="13"/>
      <c r="AK42" s="33"/>
      <c r="AL42" s="34"/>
      <c r="AM42" s="31"/>
      <c r="AN42" s="13"/>
      <c r="AP42">
        <v>19</v>
      </c>
      <c r="AQ42" s="13">
        <f t="shared" si="14"/>
        <v>0</v>
      </c>
      <c r="AS42" s="13"/>
      <c r="AT42" s="13"/>
    </row>
    <row r="43" spans="2:46" x14ac:dyDescent="0.25">
      <c r="N43" s="29">
        <v>29</v>
      </c>
      <c r="O43" s="30"/>
      <c r="P43" s="31"/>
      <c r="Q43" s="13"/>
      <c r="S43" s="44"/>
      <c r="T43" s="32"/>
      <c r="AE43" s="13"/>
      <c r="AF43" s="13"/>
      <c r="AG43" s="13"/>
      <c r="AH43" s="13"/>
      <c r="AI43" s="13"/>
      <c r="AK43" s="33"/>
      <c r="AL43" s="34"/>
      <c r="AM43" s="31"/>
      <c r="AN43" s="13"/>
      <c r="AP43">
        <v>20</v>
      </c>
      <c r="AQ43" s="13">
        <f t="shared" si="14"/>
        <v>0</v>
      </c>
      <c r="AS43" s="13"/>
      <c r="AT43" s="13"/>
    </row>
    <row r="44" spans="2:46" x14ac:dyDescent="0.25">
      <c r="N44" s="29">
        <v>30</v>
      </c>
      <c r="O44" s="30"/>
      <c r="P44" s="31"/>
      <c r="Q44" s="13"/>
      <c r="S44" s="44"/>
      <c r="T44" s="32"/>
      <c r="AE44" s="13"/>
      <c r="AF44" s="13"/>
      <c r="AG44" s="13"/>
      <c r="AH44" s="13"/>
      <c r="AI44" s="13"/>
      <c r="AK44" s="33"/>
      <c r="AL44" s="34"/>
      <c r="AM44" s="31"/>
      <c r="AN44" s="13"/>
      <c r="AP44">
        <v>21</v>
      </c>
      <c r="AQ44" s="13">
        <f t="shared" si="14"/>
        <v>0</v>
      </c>
    </row>
    <row r="45" spans="2:46" x14ac:dyDescent="0.25">
      <c r="N45" s="29">
        <v>31</v>
      </c>
      <c r="O45" s="30"/>
      <c r="P45" s="31"/>
      <c r="Q45" s="13"/>
      <c r="S45" s="44"/>
      <c r="T45" s="32"/>
      <c r="AE45" s="13"/>
      <c r="AF45" s="13"/>
      <c r="AG45" s="13"/>
      <c r="AH45" s="13"/>
      <c r="AI45" s="13"/>
      <c r="AK45" s="33"/>
      <c r="AL45" s="34"/>
      <c r="AM45" s="31"/>
      <c r="AN45" s="13"/>
      <c r="AP45">
        <v>22</v>
      </c>
      <c r="AQ45" s="13">
        <f t="shared" si="14"/>
        <v>0</v>
      </c>
    </row>
    <row r="46" spans="2:46" x14ac:dyDescent="0.25">
      <c r="N46" s="29">
        <v>32</v>
      </c>
      <c r="O46" s="30"/>
      <c r="P46" s="31"/>
      <c r="Q46" s="13"/>
      <c r="S46" s="44"/>
      <c r="T46" s="32"/>
      <c r="AE46" s="13"/>
      <c r="AF46" s="13"/>
      <c r="AG46" s="13"/>
      <c r="AH46" s="13"/>
      <c r="AI46" s="13"/>
      <c r="AK46" s="33"/>
      <c r="AL46" s="34"/>
      <c r="AM46" s="31"/>
      <c r="AN46" s="13"/>
      <c r="AP46">
        <v>23</v>
      </c>
      <c r="AQ46" s="13">
        <f t="shared" si="14"/>
        <v>0</v>
      </c>
    </row>
    <row r="47" spans="2:46" x14ac:dyDescent="0.25">
      <c r="N47" s="29">
        <v>33</v>
      </c>
      <c r="O47" s="30"/>
      <c r="P47" s="31"/>
      <c r="Q47" s="13"/>
      <c r="S47" s="44"/>
      <c r="T47" s="32"/>
      <c r="AE47" s="13"/>
      <c r="AF47" s="13"/>
      <c r="AG47" s="13"/>
      <c r="AH47" s="13"/>
      <c r="AI47" s="13"/>
      <c r="AK47" s="33"/>
      <c r="AL47" s="34"/>
      <c r="AM47" s="31"/>
      <c r="AN47" s="13"/>
      <c r="AP47">
        <v>24</v>
      </c>
      <c r="AQ47" s="13">
        <f t="shared" si="14"/>
        <v>0</v>
      </c>
    </row>
    <row r="48" spans="2:46" x14ac:dyDescent="0.25">
      <c r="N48" s="29">
        <v>34</v>
      </c>
      <c r="O48" s="30"/>
      <c r="P48" s="31"/>
      <c r="Q48" s="13"/>
      <c r="S48" s="44"/>
      <c r="T48" s="32"/>
      <c r="AE48" s="13"/>
      <c r="AF48" s="13"/>
      <c r="AG48" s="13"/>
      <c r="AH48" s="13"/>
      <c r="AI48" s="13"/>
      <c r="AK48" s="33"/>
      <c r="AL48" s="34"/>
      <c r="AM48" s="31"/>
      <c r="AN48" s="13"/>
      <c r="AP48">
        <v>25</v>
      </c>
      <c r="AQ48" s="13">
        <f t="shared" si="14"/>
        <v>0</v>
      </c>
    </row>
    <row r="49" spans="14:43" x14ac:dyDescent="0.25">
      <c r="N49" s="29">
        <v>35</v>
      </c>
      <c r="O49" s="30"/>
      <c r="P49" s="31"/>
      <c r="Q49" s="13"/>
      <c r="S49" s="44"/>
      <c r="T49" s="32"/>
      <c r="AE49" s="13"/>
      <c r="AF49" s="13"/>
      <c r="AG49" s="13"/>
      <c r="AH49" s="13"/>
      <c r="AI49" s="13"/>
      <c r="AK49" s="33"/>
      <c r="AL49" s="34"/>
      <c r="AM49" s="31"/>
      <c r="AN49" s="13"/>
      <c r="AP49">
        <v>26</v>
      </c>
      <c r="AQ49" s="13">
        <f t="shared" si="14"/>
        <v>0</v>
      </c>
    </row>
    <row r="50" spans="14:43" x14ac:dyDescent="0.25">
      <c r="N50" s="29">
        <v>36</v>
      </c>
      <c r="O50" s="30"/>
      <c r="P50" s="31"/>
      <c r="Q50" s="13"/>
      <c r="S50" s="44"/>
      <c r="T50" s="32"/>
      <c r="AE50" s="13"/>
      <c r="AF50" s="13"/>
      <c r="AG50" s="13"/>
      <c r="AH50" s="13"/>
      <c r="AI50" s="13"/>
      <c r="AK50" s="33"/>
      <c r="AL50" s="34"/>
      <c r="AM50" s="31"/>
      <c r="AN50" s="13"/>
      <c r="AP50">
        <v>27</v>
      </c>
      <c r="AQ50" s="13">
        <f t="shared" si="14"/>
        <v>0</v>
      </c>
    </row>
    <row r="51" spans="14:43" x14ac:dyDescent="0.25">
      <c r="N51" s="29">
        <v>37</v>
      </c>
      <c r="O51" s="30"/>
      <c r="P51" s="52"/>
      <c r="Q51" s="53"/>
      <c r="S51" s="44"/>
      <c r="T51" s="32"/>
      <c r="AE51" s="13"/>
      <c r="AF51" s="13"/>
      <c r="AG51" s="13"/>
      <c r="AK51" s="33"/>
      <c r="AL51" s="34"/>
      <c r="AM51" s="31"/>
      <c r="AN51" s="13"/>
      <c r="AP51">
        <v>28</v>
      </c>
      <c r="AQ51" s="13">
        <f t="shared" si="14"/>
        <v>0</v>
      </c>
    </row>
    <row r="52" spans="14:43" x14ac:dyDescent="0.25">
      <c r="N52" s="29">
        <v>38</v>
      </c>
      <c r="O52" s="30"/>
      <c r="P52" s="31"/>
      <c r="Q52" s="13"/>
      <c r="S52" s="44"/>
      <c r="T52" s="32"/>
      <c r="AK52" s="33"/>
      <c r="AL52" s="34"/>
      <c r="AM52" s="31"/>
      <c r="AN52" s="13"/>
      <c r="AP52">
        <v>29</v>
      </c>
      <c r="AQ52" s="13">
        <f t="shared" si="14"/>
        <v>0</v>
      </c>
    </row>
    <row r="53" spans="14:43" x14ac:dyDescent="0.25">
      <c r="N53" s="29">
        <v>39</v>
      </c>
      <c r="O53" s="30"/>
      <c r="P53" s="31"/>
      <c r="Q53" s="13"/>
      <c r="S53" s="44"/>
      <c r="T53" s="32"/>
      <c r="AK53" s="33"/>
      <c r="AL53" s="34"/>
      <c r="AM53" s="31"/>
      <c r="AN53" s="13"/>
      <c r="AP53">
        <v>30</v>
      </c>
      <c r="AQ53" s="13">
        <f t="shared" si="14"/>
        <v>0</v>
      </c>
    </row>
    <row r="54" spans="14:43" x14ac:dyDescent="0.25">
      <c r="N54" s="29">
        <v>40</v>
      </c>
      <c r="O54" s="30"/>
      <c r="P54" s="31"/>
      <c r="Q54" s="13"/>
      <c r="S54" s="44"/>
      <c r="T54" s="32"/>
      <c r="AK54" s="33"/>
      <c r="AL54" s="34"/>
      <c r="AQ54" s="13"/>
    </row>
    <row r="55" spans="14:43" x14ac:dyDescent="0.25">
      <c r="N55" s="29">
        <v>41</v>
      </c>
      <c r="O55" s="30"/>
      <c r="P55" s="31"/>
      <c r="Q55" s="13"/>
      <c r="S55" s="44"/>
      <c r="T55" s="32"/>
      <c r="AK55" s="33"/>
      <c r="AL55" s="34"/>
      <c r="AQ55" s="13"/>
    </row>
    <row r="56" spans="14:43" x14ac:dyDescent="0.25">
      <c r="N56" s="29">
        <v>42</v>
      </c>
      <c r="O56" s="30"/>
      <c r="P56" s="31"/>
      <c r="Q56" s="13"/>
      <c r="S56" s="44"/>
      <c r="T56" s="32"/>
      <c r="AK56" s="33"/>
      <c r="AL56" s="34"/>
      <c r="AQ56" s="13"/>
    </row>
    <row r="57" spans="14:43" x14ac:dyDescent="0.25">
      <c r="N57" s="29">
        <v>43</v>
      </c>
      <c r="O57" s="30"/>
      <c r="P57" s="48"/>
      <c r="Q57" s="46"/>
      <c r="S57" s="44"/>
      <c r="T57" s="32"/>
      <c r="AK57" s="33"/>
      <c r="AL57" s="34"/>
      <c r="AQ57" s="13"/>
    </row>
    <row r="58" spans="14:43" x14ac:dyDescent="0.25">
      <c r="N58" s="29">
        <v>44</v>
      </c>
      <c r="O58" s="30"/>
      <c r="P58" s="31"/>
      <c r="Q58" s="13"/>
      <c r="S58" s="44"/>
      <c r="T58" s="32"/>
      <c r="AK58" s="33"/>
      <c r="AL58" s="34"/>
      <c r="AQ58" s="13"/>
    </row>
    <row r="59" spans="14:43" x14ac:dyDescent="0.25">
      <c r="N59" s="29">
        <v>45</v>
      </c>
      <c r="O59" s="30"/>
      <c r="P59" s="52"/>
      <c r="Q59" s="53"/>
      <c r="S59" s="44"/>
      <c r="T59" s="32"/>
      <c r="V59" s="32">
        <v>18</v>
      </c>
      <c r="W59" s="13">
        <f>V59-$V$59</f>
        <v>0</v>
      </c>
      <c r="X59" s="32">
        <v>0</v>
      </c>
      <c r="AK59" s="33"/>
      <c r="AL59" s="34"/>
      <c r="AQ59" s="13"/>
    </row>
    <row r="60" spans="14:43" x14ac:dyDescent="0.25">
      <c r="N60" s="29">
        <v>46</v>
      </c>
      <c r="O60" s="30"/>
      <c r="P60" s="31"/>
      <c r="Q60" s="13"/>
      <c r="S60" s="44"/>
      <c r="T60" s="32"/>
      <c r="V60" s="32">
        <v>19</v>
      </c>
      <c r="W60" s="13">
        <f t="shared" ref="W60:W69" si="15">V60-$V$59</f>
        <v>1</v>
      </c>
      <c r="X60" s="32">
        <v>129.64134629226299</v>
      </c>
      <c r="AK60" s="33"/>
      <c r="AL60" s="34"/>
      <c r="AQ60" s="13"/>
    </row>
    <row r="61" spans="14:43" x14ac:dyDescent="0.25">
      <c r="N61" s="29">
        <v>47</v>
      </c>
      <c r="O61" s="30"/>
      <c r="P61" s="31"/>
      <c r="Q61" s="13"/>
      <c r="S61" s="44"/>
      <c r="T61" s="32"/>
      <c r="V61" s="32">
        <v>20</v>
      </c>
      <c r="W61" s="13">
        <f t="shared" si="15"/>
        <v>2</v>
      </c>
      <c r="X61" s="32">
        <v>335.468840212928</v>
      </c>
      <c r="AK61" s="33"/>
      <c r="AL61" s="34"/>
      <c r="AQ61" s="13"/>
    </row>
    <row r="62" spans="14:43" x14ac:dyDescent="0.25">
      <c r="N62" s="29">
        <v>48</v>
      </c>
      <c r="O62" s="30"/>
      <c r="P62" s="31"/>
      <c r="Q62" s="13"/>
      <c r="S62" s="44"/>
      <c r="T62" s="32"/>
      <c r="V62" s="32">
        <v>21</v>
      </c>
      <c r="W62" s="13">
        <f t="shared" si="15"/>
        <v>3</v>
      </c>
      <c r="X62" s="32">
        <v>541.29633413359204</v>
      </c>
      <c r="AK62" s="33"/>
      <c r="AL62" s="34"/>
      <c r="AQ62" s="13"/>
    </row>
    <row r="63" spans="14:43" x14ac:dyDescent="0.25">
      <c r="N63" s="29">
        <v>49</v>
      </c>
      <c r="O63" s="30"/>
      <c r="P63" s="31"/>
      <c r="Q63" s="13"/>
      <c r="S63" s="44"/>
      <c r="T63" s="32"/>
      <c r="V63" s="32">
        <v>22</v>
      </c>
      <c r="W63" s="13">
        <f t="shared" si="15"/>
        <v>4</v>
      </c>
      <c r="X63" s="32">
        <v>747.12382805425705</v>
      </c>
      <c r="AK63" s="33"/>
      <c r="AL63" s="34"/>
      <c r="AQ63" s="13"/>
    </row>
    <row r="64" spans="14:43" x14ac:dyDescent="0.25">
      <c r="N64" s="29">
        <v>50</v>
      </c>
      <c r="O64" s="30"/>
      <c r="P64" s="31"/>
      <c r="Q64" s="13"/>
      <c r="S64" s="44"/>
      <c r="T64" s="32"/>
      <c r="V64" s="32">
        <v>23</v>
      </c>
      <c r="W64" s="13">
        <f t="shared" si="15"/>
        <v>5</v>
      </c>
      <c r="X64" s="32">
        <v>954.16910622789806</v>
      </c>
      <c r="AQ64" s="13"/>
    </row>
    <row r="65" spans="19:43" x14ac:dyDescent="0.25">
      <c r="V65" s="32">
        <v>24</v>
      </c>
      <c r="W65" s="13">
        <f t="shared" si="15"/>
        <v>6</v>
      </c>
      <c r="X65" s="32">
        <v>1642.49363867685</v>
      </c>
      <c r="AQ65" s="13"/>
    </row>
    <row r="66" spans="19:43" x14ac:dyDescent="0.25">
      <c r="V66" s="44">
        <v>25</v>
      </c>
      <c r="W66" s="13">
        <f t="shared" si="15"/>
        <v>7</v>
      </c>
      <c r="X66" s="32">
        <v>2463.7404580152702</v>
      </c>
      <c r="AQ66" s="13"/>
    </row>
    <row r="67" spans="19:43" x14ac:dyDescent="0.25">
      <c r="V67" s="44">
        <v>26</v>
      </c>
      <c r="W67" s="13">
        <f t="shared" si="15"/>
        <v>8</v>
      </c>
      <c r="X67" s="32">
        <v>3136.3929024081099</v>
      </c>
      <c r="AQ67" s="13"/>
    </row>
    <row r="68" spans="19:43" x14ac:dyDescent="0.25">
      <c r="V68" s="44">
        <v>27</v>
      </c>
      <c r="W68" s="13">
        <f t="shared" si="15"/>
        <v>9</v>
      </c>
      <c r="X68" s="32">
        <v>3784.0481622306702</v>
      </c>
      <c r="AQ68" s="13"/>
    </row>
    <row r="69" spans="19:43" x14ac:dyDescent="0.25">
      <c r="V69" s="44">
        <v>28</v>
      </c>
      <c r="W69" s="13">
        <f t="shared" si="15"/>
        <v>10</v>
      </c>
      <c r="X69" s="32">
        <v>4431.7034220532296</v>
      </c>
      <c r="AQ69" s="13"/>
    </row>
    <row r="70" spans="19:43" x14ac:dyDescent="0.25">
      <c r="AQ70" s="13"/>
    </row>
    <row r="71" spans="19:43" x14ac:dyDescent="0.25">
      <c r="AQ71" s="13"/>
    </row>
    <row r="72" spans="19:43" x14ac:dyDescent="0.25">
      <c r="AQ72" s="13"/>
    </row>
    <row r="73" spans="19:43" x14ac:dyDescent="0.25">
      <c r="AQ73" s="13"/>
    </row>
    <row r="78" spans="19:43" x14ac:dyDescent="0.25">
      <c r="S78" s="13">
        <v>0</v>
      </c>
      <c r="T78" s="32">
        <v>0</v>
      </c>
    </row>
    <row r="79" spans="19:43" x14ac:dyDescent="0.25">
      <c r="S79" s="13">
        <v>1</v>
      </c>
      <c r="T79" s="32">
        <v>129.64134629226299</v>
      </c>
    </row>
    <row r="80" spans="19:43" x14ac:dyDescent="0.25">
      <c r="S80" s="13">
        <v>2</v>
      </c>
      <c r="T80" s="32">
        <v>335.468840212928</v>
      </c>
    </row>
    <row r="81" spans="19:32" x14ac:dyDescent="0.25">
      <c r="S81" s="13">
        <v>3</v>
      </c>
      <c r="T81" s="32">
        <v>541.29633413359204</v>
      </c>
    </row>
    <row r="82" spans="19:32" x14ac:dyDescent="0.25">
      <c r="S82" s="13">
        <v>4</v>
      </c>
      <c r="T82" s="32">
        <v>747.12382805425705</v>
      </c>
    </row>
    <row r="83" spans="19:32" x14ac:dyDescent="0.25">
      <c r="S83" s="13">
        <v>5</v>
      </c>
      <c r="T83" s="32">
        <v>954.16910622789806</v>
      </c>
      <c r="V83" s="13">
        <v>0</v>
      </c>
      <c r="W83" s="13">
        <v>1</v>
      </c>
      <c r="X83" s="13">
        <v>2</v>
      </c>
      <c r="Y83" s="13">
        <v>3</v>
      </c>
      <c r="Z83" s="13">
        <v>4</v>
      </c>
      <c r="AA83" s="13">
        <v>5</v>
      </c>
      <c r="AB83" s="13">
        <v>6</v>
      </c>
      <c r="AC83" s="13">
        <v>7</v>
      </c>
      <c r="AD83" s="13">
        <v>8</v>
      </c>
      <c r="AE83" s="13">
        <v>9</v>
      </c>
      <c r="AF83" s="13">
        <v>10</v>
      </c>
    </row>
    <row r="84" spans="19:32" x14ac:dyDescent="0.25">
      <c r="S84" s="13">
        <v>6</v>
      </c>
      <c r="T84" s="32">
        <v>1642.49363867685</v>
      </c>
      <c r="V84" s="32">
        <v>0</v>
      </c>
      <c r="W84" s="32">
        <v>129.64134629226299</v>
      </c>
      <c r="X84" s="32">
        <v>335.468840212928</v>
      </c>
      <c r="Y84" s="32">
        <v>541.29633413359204</v>
      </c>
      <c r="Z84" s="32">
        <v>747.12382805425705</v>
      </c>
      <c r="AA84" s="32">
        <v>954.16910622789806</v>
      </c>
      <c r="AB84" s="32">
        <v>1642.49363867685</v>
      </c>
      <c r="AC84" s="32">
        <v>2463.7404580152702</v>
      </c>
      <c r="AD84" s="32">
        <v>3136.3929024081099</v>
      </c>
      <c r="AE84" s="32">
        <v>3784.0481622306702</v>
      </c>
      <c r="AF84" s="32">
        <v>4431.7034220532296</v>
      </c>
    </row>
    <row r="85" spans="19:32" x14ac:dyDescent="0.25">
      <c r="S85" s="13">
        <v>7</v>
      </c>
      <c r="T85" s="32">
        <v>2463.7404580152702</v>
      </c>
    </row>
    <row r="86" spans="19:32" x14ac:dyDescent="0.25">
      <c r="S86" s="13">
        <v>8</v>
      </c>
      <c r="T86" s="32">
        <v>3136.3929024081099</v>
      </c>
    </row>
    <row r="87" spans="19:32" x14ac:dyDescent="0.25">
      <c r="S87" s="13">
        <v>9</v>
      </c>
      <c r="T87" s="32">
        <v>3784.0481622306702</v>
      </c>
    </row>
    <row r="88" spans="19:32" x14ac:dyDescent="0.25">
      <c r="S88" s="13">
        <v>10</v>
      </c>
      <c r="T88" s="32">
        <v>4431.7034220532296</v>
      </c>
    </row>
  </sheetData>
  <mergeCells count="4">
    <mergeCell ref="J2:N2"/>
    <mergeCell ref="O2:S2"/>
    <mergeCell ref="T2:X2"/>
    <mergeCell ref="Y2:AC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A7B7-0C9D-4468-B7BA-FF0E5FDBEA94}">
  <sheetPr>
    <tabColor rgb="FFFFC000"/>
  </sheetPr>
  <dimension ref="B2:AT73"/>
  <sheetViews>
    <sheetView zoomScale="85" zoomScaleNormal="85" workbookViewId="0"/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4" width="9.7109375" customWidth="1"/>
    <col min="39" max="39" width="11.42578125" bestFit="1" customWidth="1"/>
  </cols>
  <sheetData>
    <row r="2" spans="2:46" x14ac:dyDescent="0.25">
      <c r="B2" s="1" t="s">
        <v>0</v>
      </c>
    </row>
    <row r="3" spans="2:46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2" t="s">
        <v>14</v>
      </c>
      <c r="AE3" s="8" t="s">
        <v>15</v>
      </c>
      <c r="AF3" s="8" t="s">
        <v>16</v>
      </c>
      <c r="AG3" s="8" t="s">
        <v>17</v>
      </c>
      <c r="AH3" s="8" t="s">
        <v>18</v>
      </c>
      <c r="AJ3" t="s">
        <v>10</v>
      </c>
      <c r="AO3" t="s">
        <v>19</v>
      </c>
    </row>
    <row r="4" spans="2:46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>
        <f>Z4/Y4</f>
        <v>2621.1111111111109</v>
      </c>
      <c r="AJ4" s="13">
        <f>K4</f>
        <v>790.5</v>
      </c>
      <c r="AK4" s="13">
        <f>P4</f>
        <v>1409</v>
      </c>
      <c r="AL4" s="13">
        <f>U4</f>
        <v>1913</v>
      </c>
      <c r="AM4" s="13">
        <f>Z4</f>
        <v>2359</v>
      </c>
      <c r="AO4" s="14">
        <f>J4</f>
        <v>0.22500000000000001</v>
      </c>
      <c r="AP4" s="14">
        <f>O4</f>
        <v>0.45</v>
      </c>
      <c r="AQ4" s="14">
        <f>T4</f>
        <v>0.67500000000000004</v>
      </c>
      <c r="AR4" s="14">
        <f>Y4</f>
        <v>0.9</v>
      </c>
    </row>
    <row r="5" spans="2:46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>
        <v>3721.9047619047619</v>
      </c>
      <c r="AJ5" s="13">
        <f t="shared" ref="AJ5" si="0">K5</f>
        <v>1291</v>
      </c>
      <c r="AK5" s="13">
        <f t="shared" ref="AK5" si="1">P5</f>
        <v>2313</v>
      </c>
      <c r="AL5" s="13">
        <f t="shared" ref="AL5" si="2">U5</f>
        <v>3155</v>
      </c>
      <c r="AM5" s="13">
        <f t="shared" ref="AM5" si="3">Z5</f>
        <v>3908</v>
      </c>
      <c r="AO5" s="14">
        <f t="shared" ref="AO5" si="4">J5</f>
        <v>0.26200000000000001</v>
      </c>
      <c r="AP5" s="14">
        <f t="shared" ref="AP5" si="5">O5</f>
        <v>0.52500000000000002</v>
      </c>
      <c r="AQ5" s="14">
        <f t="shared" ref="AQ5" si="6">T5</f>
        <v>0.78700000000000003</v>
      </c>
      <c r="AR5" s="14">
        <f t="shared" ref="AR5" si="7">Y5</f>
        <v>1.05</v>
      </c>
    </row>
    <row r="6" spans="2:46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>
        <f>Z6/Y6</f>
        <v>5981.8181818181811</v>
      </c>
      <c r="AJ6" s="13">
        <f>K6</f>
        <v>1972</v>
      </c>
      <c r="AK6" s="13">
        <f>P6</f>
        <v>3663</v>
      </c>
      <c r="AL6" s="13">
        <f>U6</f>
        <v>5169</v>
      </c>
      <c r="AM6" s="13">
        <f>Z6</f>
        <v>6580</v>
      </c>
      <c r="AO6" s="14">
        <f>J6</f>
        <v>0.27500000000000002</v>
      </c>
      <c r="AP6" s="14">
        <f>O6</f>
        <v>0.55000000000000004</v>
      </c>
      <c r="AQ6" s="14">
        <f>T6</f>
        <v>0.82499999999999996</v>
      </c>
      <c r="AR6" s="14">
        <f>Y6</f>
        <v>1.1000000000000001</v>
      </c>
    </row>
    <row r="7" spans="2:46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>
        <f>Z7/Y7</f>
        <v>8821.176470588236</v>
      </c>
      <c r="AJ7" s="13">
        <f>K7</f>
        <v>2097</v>
      </c>
      <c r="AK7" s="13">
        <f>P7</f>
        <v>4003</v>
      </c>
      <c r="AL7" s="13">
        <f>U7</f>
        <v>5783</v>
      </c>
      <c r="AM7" s="13">
        <f>Z7</f>
        <v>7498</v>
      </c>
      <c r="AO7" s="14">
        <f>J7</f>
        <v>0.21199999999999999</v>
      </c>
      <c r="AP7" s="14">
        <f>O7</f>
        <v>0.42499999999999999</v>
      </c>
      <c r="AQ7" s="14">
        <f>T7</f>
        <v>0.63700000000000001</v>
      </c>
      <c r="AR7" s="14">
        <f>Y7</f>
        <v>0.85</v>
      </c>
    </row>
    <row r="8" spans="2:46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>
        <f t="shared" ref="AH8" si="11">Z8/Y8</f>
        <v>10738.666666666666</v>
      </c>
      <c r="AJ8" s="13">
        <f>K8</f>
        <v>2199</v>
      </c>
      <c r="AK8" s="13">
        <f>P8</f>
        <v>4239</v>
      </c>
      <c r="AL8" s="13">
        <f>U8</f>
        <v>6173</v>
      </c>
      <c r="AM8" s="13">
        <f>Z8</f>
        <v>8054</v>
      </c>
      <c r="AO8" s="14">
        <f>J8</f>
        <v>0.187</v>
      </c>
      <c r="AP8" s="14">
        <f>O8</f>
        <v>0.375</v>
      </c>
      <c r="AQ8" s="14">
        <f>T8</f>
        <v>0.56200000000000006</v>
      </c>
      <c r="AR8" s="14">
        <f>Y8</f>
        <v>0.75</v>
      </c>
    </row>
    <row r="9" spans="2:4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</row>
    <row r="10" spans="2:46" x14ac:dyDescent="0.25">
      <c r="N10" s="15" t="s">
        <v>71</v>
      </c>
      <c r="O10" s="16">
        <v>0.9</v>
      </c>
      <c r="Q10" s="47" t="s">
        <v>102</v>
      </c>
      <c r="R10" s="16">
        <v>36</v>
      </c>
    </row>
    <row r="11" spans="2:46" x14ac:dyDescent="0.25">
      <c r="AH11" s="22"/>
      <c r="AK11" s="20" t="s">
        <v>75</v>
      </c>
      <c r="AL11" s="18"/>
      <c r="AM11" s="18"/>
      <c r="AN11" s="19"/>
      <c r="AP11" s="1" t="s">
        <v>76</v>
      </c>
    </row>
    <row r="12" spans="2:46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AH12" s="1"/>
      <c r="AK12" s="25" t="s">
        <v>79</v>
      </c>
      <c r="AL12" s="26" t="s">
        <v>80</v>
      </c>
      <c r="AM12" s="26"/>
      <c r="AN12" s="27"/>
    </row>
    <row r="13" spans="2:46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AG13" s="1"/>
      <c r="AH13" s="13"/>
      <c r="AI13" s="13"/>
      <c r="AK13" s="33">
        <v>0</v>
      </c>
      <c r="AL13" s="34">
        <v>0</v>
      </c>
      <c r="AM13" s="31"/>
      <c r="AN13" s="13"/>
      <c r="AP13">
        <v>-10</v>
      </c>
      <c r="AQ13" s="13">
        <f>IF(AP13&lt;$C$13,0,(AP13-$C$13)*$C$14)</f>
        <v>0</v>
      </c>
      <c r="AS13" s="13"/>
      <c r="AT13" s="13"/>
    </row>
    <row r="14" spans="2:46" x14ac:dyDescent="0.25">
      <c r="B14" s="23" t="s">
        <v>84</v>
      </c>
      <c r="C14">
        <v>61</v>
      </c>
      <c r="D14" t="s">
        <v>85</v>
      </c>
      <c r="L14" s="24"/>
      <c r="N14" s="29">
        <v>0</v>
      </c>
      <c r="O14" s="30">
        <v>0</v>
      </c>
      <c r="P14" s="31">
        <f t="shared" ref="P14:P64" si="12">N14*$O$10</f>
        <v>0</v>
      </c>
      <c r="Q14" s="13">
        <f t="shared" ref="Q14:Q64" si="13">O14/($O$10)</f>
        <v>0</v>
      </c>
      <c r="S14" s="32">
        <v>0</v>
      </c>
      <c r="T14" s="32">
        <v>0</v>
      </c>
      <c r="AG14" s="13"/>
      <c r="AH14" s="13"/>
      <c r="AI14" s="13"/>
      <c r="AK14" s="33">
        <v>1</v>
      </c>
      <c r="AL14" s="34">
        <v>0</v>
      </c>
      <c r="AM14" s="31"/>
      <c r="AN14" s="13"/>
      <c r="AP14">
        <v>-9</v>
      </c>
      <c r="AQ14" s="13">
        <f t="shared" ref="AQ14:AQ53" si="14">IF(AP14&lt;$C$13,0,(AP14-$C$13)*$C$14)</f>
        <v>0</v>
      </c>
      <c r="AS14" s="13"/>
      <c r="AT14" s="13"/>
    </row>
    <row r="15" spans="2:46" x14ac:dyDescent="0.25">
      <c r="B15" s="35"/>
      <c r="L15" s="24"/>
      <c r="N15" s="29">
        <v>1</v>
      </c>
      <c r="O15" s="30">
        <v>1.0043782485850088</v>
      </c>
      <c r="P15" s="31">
        <f t="shared" si="12"/>
        <v>0.9</v>
      </c>
      <c r="Q15" s="13">
        <f t="shared" si="13"/>
        <v>1.1159758317611208</v>
      </c>
      <c r="S15" s="32">
        <v>1</v>
      </c>
      <c r="T15" s="32">
        <v>0</v>
      </c>
      <c r="AG15" s="13"/>
      <c r="AH15" s="13"/>
      <c r="AI15" s="13"/>
      <c r="AK15" s="33">
        <v>2</v>
      </c>
      <c r="AL15" s="34">
        <v>0</v>
      </c>
      <c r="AM15" s="31"/>
      <c r="AN15" s="13"/>
      <c r="AP15">
        <v>-8</v>
      </c>
      <c r="AQ15" s="13">
        <f t="shared" si="14"/>
        <v>0</v>
      </c>
      <c r="AS15" s="13"/>
      <c r="AT15" s="13"/>
    </row>
    <row r="16" spans="2:46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4.674945174118367</v>
      </c>
      <c r="P16" s="31">
        <f t="shared" si="12"/>
        <v>1.8</v>
      </c>
      <c r="Q16" s="13">
        <f t="shared" si="13"/>
        <v>5.1943835267981857</v>
      </c>
      <c r="S16" s="32">
        <v>2</v>
      </c>
      <c r="T16" s="32">
        <v>0</v>
      </c>
      <c r="AG16" s="13"/>
      <c r="AH16" s="13"/>
      <c r="AI16" s="13"/>
      <c r="AK16" s="33">
        <v>3</v>
      </c>
      <c r="AL16" s="34">
        <v>0</v>
      </c>
      <c r="AM16" s="31"/>
      <c r="AN16" s="13"/>
      <c r="AP16">
        <v>-7</v>
      </c>
      <c r="AQ16" s="13">
        <f t="shared" si="14"/>
        <v>0</v>
      </c>
      <c r="AS16" s="13"/>
      <c r="AT16" s="13"/>
    </row>
    <row r="17" spans="2:46" x14ac:dyDescent="0.25">
      <c r="B17" s="35">
        <v>0</v>
      </c>
      <c r="C17" t="s">
        <v>95</v>
      </c>
      <c r="G17" s="36">
        <v>19</v>
      </c>
      <c r="H17">
        <v>0</v>
      </c>
      <c r="I17">
        <v>0</v>
      </c>
      <c r="J17">
        <f>G17</f>
        <v>19</v>
      </c>
      <c r="K17">
        <v>0</v>
      </c>
      <c r="L17" s="24"/>
      <c r="N17" s="29">
        <v>3</v>
      </c>
      <c r="O17" s="30">
        <v>11.493725546328541</v>
      </c>
      <c r="P17" s="31">
        <f t="shared" si="12"/>
        <v>2.7</v>
      </c>
      <c r="Q17" s="13">
        <f t="shared" si="13"/>
        <v>12.770806162587267</v>
      </c>
      <c r="S17" s="32">
        <v>3</v>
      </c>
      <c r="T17" s="32">
        <v>0</v>
      </c>
      <c r="AG17" s="13"/>
      <c r="AH17" s="13"/>
      <c r="AI17" s="13"/>
      <c r="AK17" s="33">
        <v>4</v>
      </c>
      <c r="AL17" s="34">
        <v>0</v>
      </c>
      <c r="AM17" s="31"/>
      <c r="AN17" s="13"/>
      <c r="AP17">
        <v>-6</v>
      </c>
      <c r="AQ17" s="13">
        <f t="shared" si="14"/>
        <v>0</v>
      </c>
      <c r="AS17" s="13"/>
      <c r="AT17" s="13"/>
    </row>
    <row r="18" spans="2:46" x14ac:dyDescent="0.25">
      <c r="B18" s="35">
        <v>1</v>
      </c>
      <c r="C18" s="37" t="str">
        <f>B4</f>
        <v>18 0011</v>
      </c>
      <c r="D18" s="36">
        <v>16</v>
      </c>
      <c r="E18" s="36">
        <v>1</v>
      </c>
      <c r="F18" s="38">
        <v>0.45</v>
      </c>
      <c r="G18" s="14">
        <f>F18*D18</f>
        <v>7.2</v>
      </c>
      <c r="H18" s="39">
        <f>AF4*F18*E18</f>
        <v>1409</v>
      </c>
      <c r="I18" s="13">
        <f>H18/G18</f>
        <v>195.69444444444443</v>
      </c>
      <c r="J18" s="40">
        <f>G4*D18+((E18-1)*D18*E4)</f>
        <v>34.4</v>
      </c>
      <c r="K18" s="31">
        <f>J18-G18</f>
        <v>27.2</v>
      </c>
      <c r="L18" s="24"/>
      <c r="N18" s="29">
        <v>4</v>
      </c>
      <c r="O18" s="30">
        <v>21.759842381894064</v>
      </c>
      <c r="P18" s="31">
        <f t="shared" si="12"/>
        <v>3.6</v>
      </c>
      <c r="Q18" s="13">
        <f t="shared" si="13"/>
        <v>24.177602646548959</v>
      </c>
      <c r="S18" s="32">
        <v>4</v>
      </c>
      <c r="T18" s="32">
        <v>0</v>
      </c>
      <c r="AG18" s="13"/>
      <c r="AH18" s="13"/>
      <c r="AI18" s="13"/>
      <c r="AK18" s="33">
        <v>5</v>
      </c>
      <c r="AL18" s="34">
        <v>0</v>
      </c>
      <c r="AM18" s="31"/>
      <c r="AN18" s="13"/>
      <c r="AP18">
        <v>-5</v>
      </c>
      <c r="AQ18" s="13">
        <f t="shared" si="14"/>
        <v>0</v>
      </c>
      <c r="AS18" s="13"/>
      <c r="AT18" s="13"/>
    </row>
    <row r="19" spans="2:46" x14ac:dyDescent="0.25">
      <c r="B19" s="35">
        <v>2</v>
      </c>
      <c r="C19" s="37" t="str">
        <f>B6</f>
        <v>18 0029</v>
      </c>
      <c r="D19" s="36">
        <v>30</v>
      </c>
      <c r="E19" s="36">
        <v>1</v>
      </c>
      <c r="F19" s="38">
        <v>0.55000000000000004</v>
      </c>
      <c r="G19" s="14">
        <f>F19*D19</f>
        <v>16.5</v>
      </c>
      <c r="H19" s="39">
        <f>AF6*F19*E19</f>
        <v>3663</v>
      </c>
      <c r="I19" s="13">
        <f>H19/G19</f>
        <v>222</v>
      </c>
      <c r="J19" s="40">
        <f>G6*D19+((E19-1)*D19*E6)</f>
        <v>93</v>
      </c>
      <c r="K19" s="31">
        <f>J19-G19</f>
        <v>76.5</v>
      </c>
      <c r="L19" s="24"/>
      <c r="N19" s="29">
        <v>5</v>
      </c>
      <c r="O19" s="30">
        <v>35.699721749686518</v>
      </c>
      <c r="P19" s="31">
        <f t="shared" si="12"/>
        <v>4.5</v>
      </c>
      <c r="Q19" s="13">
        <f t="shared" si="13"/>
        <v>39.666357499651689</v>
      </c>
      <c r="S19" s="32">
        <v>5</v>
      </c>
      <c r="T19" s="32">
        <v>61</v>
      </c>
      <c r="AG19" s="13"/>
      <c r="AH19" s="13"/>
      <c r="AI19" s="13"/>
      <c r="AK19" s="33">
        <v>6</v>
      </c>
      <c r="AL19" s="34">
        <v>0</v>
      </c>
      <c r="AM19" s="31"/>
      <c r="AN19" s="13"/>
      <c r="AP19">
        <v>-4</v>
      </c>
      <c r="AQ19" s="13">
        <f t="shared" si="14"/>
        <v>0</v>
      </c>
      <c r="AS19" s="13"/>
      <c r="AT19" s="13"/>
    </row>
    <row r="20" spans="2:46" x14ac:dyDescent="0.25">
      <c r="B20" s="35"/>
      <c r="L20" s="24"/>
      <c r="N20" s="29">
        <v>6</v>
      </c>
      <c r="O20" s="30">
        <v>53.498307884653222</v>
      </c>
      <c r="P20" s="31">
        <f t="shared" si="12"/>
        <v>5.4</v>
      </c>
      <c r="Q20" s="13">
        <f t="shared" si="13"/>
        <v>59.442564316281356</v>
      </c>
      <c r="S20" s="32">
        <v>6</v>
      </c>
      <c r="T20" s="32">
        <v>122</v>
      </c>
      <c r="AG20" s="13"/>
      <c r="AH20" s="13"/>
      <c r="AI20" s="13"/>
      <c r="AK20" s="33">
        <v>7</v>
      </c>
      <c r="AL20" s="34">
        <v>0</v>
      </c>
      <c r="AM20" s="31"/>
      <c r="AN20" s="13"/>
      <c r="AP20">
        <v>-3</v>
      </c>
      <c r="AQ20" s="13">
        <f t="shared" si="14"/>
        <v>0</v>
      </c>
      <c r="AS20" s="13"/>
      <c r="AT20" s="13"/>
    </row>
    <row r="21" spans="2:46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146.4</v>
      </c>
      <c r="K21" s="43">
        <f>SUM(K17:K19)</f>
        <v>103.7</v>
      </c>
      <c r="L21" s="24"/>
      <c r="N21" s="29">
        <v>7</v>
      </c>
      <c r="O21" s="30">
        <v>75.313238597676715</v>
      </c>
      <c r="P21" s="31">
        <f t="shared" si="12"/>
        <v>6.3</v>
      </c>
      <c r="Q21" s="13">
        <f t="shared" si="13"/>
        <v>83.681376219640796</v>
      </c>
      <c r="S21" s="32">
        <v>7</v>
      </c>
      <c r="T21" s="32">
        <v>183</v>
      </c>
      <c r="AG21" s="13"/>
      <c r="AH21" s="13"/>
      <c r="AI21" s="13"/>
      <c r="AK21" s="33">
        <v>8</v>
      </c>
      <c r="AL21" s="34">
        <v>0</v>
      </c>
      <c r="AM21" s="31"/>
      <c r="AN21" s="13"/>
      <c r="AP21">
        <v>-2</v>
      </c>
      <c r="AQ21" s="13">
        <f t="shared" si="14"/>
        <v>0</v>
      </c>
      <c r="AS21" s="13"/>
      <c r="AT21" s="13"/>
    </row>
    <row r="22" spans="2:46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101.28262960306628</v>
      </c>
      <c r="P22" s="31">
        <f t="shared" si="12"/>
        <v>7.2</v>
      </c>
      <c r="Q22" s="13">
        <f t="shared" si="13"/>
        <v>112.53625511451808</v>
      </c>
      <c r="S22" s="32">
        <v>8</v>
      </c>
      <c r="T22" s="32">
        <v>244</v>
      </c>
      <c r="AG22" s="13"/>
      <c r="AH22" s="13"/>
      <c r="AI22" s="13"/>
      <c r="AK22" s="33">
        <v>9</v>
      </c>
      <c r="AL22" s="34">
        <v>0</v>
      </c>
      <c r="AM22" s="31"/>
      <c r="AN22" s="13"/>
      <c r="AP22">
        <v>-1</v>
      </c>
      <c r="AQ22" s="13">
        <f t="shared" si="14"/>
        <v>0</v>
      </c>
      <c r="AS22" s="13"/>
      <c r="AT22" s="13"/>
    </row>
    <row r="23" spans="2:46" x14ac:dyDescent="0.25">
      <c r="B23" s="35" t="s">
        <v>101</v>
      </c>
      <c r="C23">
        <v>0</v>
      </c>
      <c r="F23">
        <f>G17</f>
        <v>19</v>
      </c>
      <c r="G23" s="13">
        <f>C23+(F23-$C$13)*($C$14)</f>
        <v>915</v>
      </c>
      <c r="H23" s="50" t="s">
        <v>104</v>
      </c>
      <c r="J23" s="31"/>
      <c r="L23" s="24"/>
      <c r="N23" s="29">
        <v>9</v>
      </c>
      <c r="O23" s="30">
        <v>131.52985652610349</v>
      </c>
      <c r="P23" s="31">
        <f t="shared" si="12"/>
        <v>8.1</v>
      </c>
      <c r="Q23" s="13">
        <f t="shared" si="13"/>
        <v>146.14428502900387</v>
      </c>
      <c r="S23" s="32">
        <v>9</v>
      </c>
      <c r="T23" s="32">
        <v>305</v>
      </c>
      <c r="AG23" s="13"/>
      <c r="AH23" s="13"/>
      <c r="AI23" s="13"/>
      <c r="AK23" s="33">
        <v>10</v>
      </c>
      <c r="AL23" s="34">
        <v>0</v>
      </c>
      <c r="AM23" s="31"/>
      <c r="AN23" s="13"/>
      <c r="AP23">
        <v>0</v>
      </c>
      <c r="AQ23" s="13">
        <f t="shared" si="14"/>
        <v>0</v>
      </c>
      <c r="AS23" s="13"/>
      <c r="AT23" s="13"/>
    </row>
    <row r="24" spans="2:46" x14ac:dyDescent="0.25">
      <c r="B24" s="35">
        <v>1</v>
      </c>
      <c r="C24" s="13">
        <f>H18</f>
        <v>1409</v>
      </c>
      <c r="D24" s="13">
        <f>I18*I19/(I18+I19)</f>
        <v>104.00944337301323</v>
      </c>
      <c r="E24" s="31">
        <f>C24/D24</f>
        <v>13.546846846846847</v>
      </c>
      <c r="F24" s="31">
        <f>F23+E24</f>
        <v>32.546846846846847</v>
      </c>
      <c r="G24" s="13">
        <f>C24+(F24-$C$13)*($C$14)</f>
        <v>3150.3576576576579</v>
      </c>
      <c r="H24" s="51" t="s">
        <v>105</v>
      </c>
      <c r="L24" s="24"/>
      <c r="N24" s="29">
        <v>10</v>
      </c>
      <c r="O24" s="30">
        <v>166.16672269256136</v>
      </c>
      <c r="P24" s="31">
        <f t="shared" si="12"/>
        <v>9</v>
      </c>
      <c r="Q24" s="13">
        <f t="shared" si="13"/>
        <v>184.62969188062374</v>
      </c>
      <c r="S24" s="32">
        <v>10</v>
      </c>
      <c r="T24" s="32">
        <v>366</v>
      </c>
      <c r="AG24" s="13"/>
      <c r="AH24" s="13"/>
      <c r="AI24" s="13"/>
      <c r="AK24" s="33">
        <v>11</v>
      </c>
      <c r="AL24" s="34">
        <v>0</v>
      </c>
      <c r="AM24" s="31"/>
      <c r="AN24" s="13"/>
      <c r="AP24">
        <v>1</v>
      </c>
      <c r="AQ24" s="13">
        <f t="shared" si="14"/>
        <v>0</v>
      </c>
      <c r="AS24" s="13"/>
      <c r="AT24" s="13"/>
    </row>
    <row r="25" spans="2:46" x14ac:dyDescent="0.25">
      <c r="B25" s="35">
        <v>2</v>
      </c>
      <c r="C25" s="13">
        <f>H19</f>
        <v>3663</v>
      </c>
      <c r="D25" s="13">
        <f>I19</f>
        <v>222</v>
      </c>
      <c r="E25" s="31">
        <f>(C25-C24)/D25</f>
        <v>10.153153153153154</v>
      </c>
      <c r="F25" s="31">
        <f>F24+E25</f>
        <v>42.7</v>
      </c>
      <c r="G25" s="13">
        <f>C25+(F25-$C$13)*($C$14)</f>
        <v>6023.7000000000007</v>
      </c>
      <c r="H25" s="51" t="s">
        <v>106</v>
      </c>
      <c r="L25" s="24"/>
      <c r="N25" s="29">
        <v>11</v>
      </c>
      <c r="O25" s="30">
        <v>205.29567541541738</v>
      </c>
      <c r="P25" s="31">
        <f t="shared" si="12"/>
        <v>9.9</v>
      </c>
      <c r="Q25" s="13">
        <f t="shared" si="13"/>
        <v>228.10630601713041</v>
      </c>
      <c r="S25" s="32">
        <v>11</v>
      </c>
      <c r="T25" s="32">
        <v>427</v>
      </c>
      <c r="AG25" s="13"/>
      <c r="AH25" s="13"/>
      <c r="AI25" s="13"/>
      <c r="AK25" s="33">
        <v>12</v>
      </c>
      <c r="AL25" s="34">
        <v>0</v>
      </c>
      <c r="AM25" s="31"/>
      <c r="AN25" s="13"/>
      <c r="AP25">
        <v>2</v>
      </c>
      <c r="AQ25" s="13">
        <f t="shared" si="14"/>
        <v>0</v>
      </c>
      <c r="AS25" s="13"/>
      <c r="AT25" s="13"/>
    </row>
    <row r="26" spans="2:46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249.01142236125409</v>
      </c>
      <c r="P26" s="31">
        <f t="shared" si="12"/>
        <v>10.8</v>
      </c>
      <c r="Q26" s="13">
        <f t="shared" si="13"/>
        <v>276.67935817917123</v>
      </c>
      <c r="S26" s="32">
        <v>12</v>
      </c>
      <c r="T26" s="32">
        <v>488</v>
      </c>
      <c r="AG26" s="13"/>
      <c r="AH26" s="13"/>
      <c r="AI26" s="13"/>
      <c r="AK26" s="33">
        <v>13</v>
      </c>
      <c r="AL26" s="34">
        <v>0</v>
      </c>
      <c r="AM26" s="31"/>
      <c r="AN26" s="13"/>
      <c r="AP26">
        <v>3</v>
      </c>
      <c r="AQ26" s="13">
        <f t="shared" si="14"/>
        <v>0</v>
      </c>
      <c r="AS26" s="13"/>
      <c r="AT26" s="13"/>
    </row>
    <row r="27" spans="2:46" x14ac:dyDescent="0.25">
      <c r="N27" s="29">
        <v>13</v>
      </c>
      <c r="O27" s="30">
        <v>297.4021496176627</v>
      </c>
      <c r="P27" s="31">
        <f t="shared" si="12"/>
        <v>11.700000000000001</v>
      </c>
      <c r="Q27" s="13">
        <f t="shared" si="13"/>
        <v>330.44683290851412</v>
      </c>
      <c r="S27" s="32">
        <v>13</v>
      </c>
      <c r="T27" s="32">
        <v>549</v>
      </c>
      <c r="AG27" s="13"/>
      <c r="AH27" s="13"/>
      <c r="AI27" s="13"/>
      <c r="AK27" s="33">
        <v>14</v>
      </c>
      <c r="AL27" s="34">
        <v>0</v>
      </c>
      <c r="AM27" s="31"/>
      <c r="AN27" s="13"/>
      <c r="AP27">
        <v>4</v>
      </c>
      <c r="AQ27" s="13">
        <f t="shared" si="14"/>
        <v>0</v>
      </c>
      <c r="AS27" s="13"/>
      <c r="AT27" s="13"/>
    </row>
    <row r="28" spans="2:46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350.55046425533385</v>
      </c>
      <c r="P28" s="31">
        <f t="shared" si="12"/>
        <v>12.6</v>
      </c>
      <c r="Q28" s="13">
        <f t="shared" si="13"/>
        <v>389.50051583925983</v>
      </c>
      <c r="S28" s="32">
        <v>14</v>
      </c>
      <c r="T28" s="32">
        <v>610</v>
      </c>
      <c r="AG28" s="13"/>
      <c r="AH28" s="13"/>
      <c r="AI28" s="13"/>
      <c r="AK28" s="33">
        <v>15</v>
      </c>
      <c r="AL28" s="34">
        <v>0</v>
      </c>
      <c r="AM28" s="31"/>
      <c r="AN28" s="13"/>
      <c r="AP28">
        <v>5</v>
      </c>
      <c r="AQ28" s="13">
        <f t="shared" si="14"/>
        <v>61</v>
      </c>
      <c r="AS28" s="13"/>
      <c r="AT28" s="13"/>
    </row>
    <row r="29" spans="2:46" x14ac:dyDescent="0.25">
      <c r="B29" s="23" t="s">
        <v>107</v>
      </c>
      <c r="L29" s="24"/>
      <c r="N29" s="29">
        <v>15</v>
      </c>
      <c r="O29" s="30">
        <v>408.53413985146</v>
      </c>
      <c r="P29" s="31">
        <f t="shared" si="12"/>
        <v>13.5</v>
      </c>
      <c r="Q29" s="13">
        <f t="shared" si="13"/>
        <v>453.92682205717779</v>
      </c>
      <c r="S29" s="32">
        <v>15</v>
      </c>
      <c r="T29" s="32">
        <v>671</v>
      </c>
      <c r="AG29" s="13"/>
      <c r="AH29" s="13"/>
      <c r="AI29" s="13"/>
      <c r="AK29" s="33">
        <v>16</v>
      </c>
      <c r="AL29" s="34">
        <v>0</v>
      </c>
      <c r="AM29" s="31"/>
      <c r="AN29" s="13"/>
      <c r="AP29">
        <v>6</v>
      </c>
      <c r="AQ29" s="13">
        <f t="shared" si="14"/>
        <v>122</v>
      </c>
      <c r="AS29" s="13"/>
      <c r="AT29" s="13"/>
    </row>
    <row r="30" spans="2:46" x14ac:dyDescent="0.25">
      <c r="B30" s="23" t="s">
        <v>121</v>
      </c>
      <c r="L30" s="24"/>
      <c r="N30" s="29">
        <v>16</v>
      </c>
      <c r="O30" s="30">
        <v>471.42671712767361</v>
      </c>
      <c r="P30" s="31">
        <f t="shared" si="12"/>
        <v>14.4</v>
      </c>
      <c r="Q30" s="13">
        <f t="shared" si="13"/>
        <v>523.80746347519289</v>
      </c>
      <c r="S30" s="32">
        <v>16</v>
      </c>
      <c r="T30" s="32">
        <v>732</v>
      </c>
      <c r="AG30" s="13"/>
      <c r="AH30" s="13"/>
      <c r="AI30" s="13"/>
      <c r="AK30" s="33">
        <v>17</v>
      </c>
      <c r="AL30" s="34">
        <v>0</v>
      </c>
      <c r="AM30" s="31"/>
      <c r="AN30" s="13"/>
      <c r="AP30">
        <v>7</v>
      </c>
      <c r="AQ30" s="13">
        <f t="shared" si="14"/>
        <v>183</v>
      </c>
      <c r="AS30" s="13"/>
      <c r="AT30" s="13"/>
    </row>
    <row r="31" spans="2:46" x14ac:dyDescent="0.25">
      <c r="B31" s="23" t="s">
        <v>108</v>
      </c>
      <c r="L31" s="24"/>
      <c r="N31" s="29">
        <v>17</v>
      </c>
      <c r="O31" s="30">
        <v>539.29799552411009</v>
      </c>
      <c r="P31" s="31">
        <f t="shared" si="12"/>
        <v>15.3</v>
      </c>
      <c r="Q31" s="13">
        <f t="shared" si="13"/>
        <v>599.21999502678898</v>
      </c>
      <c r="S31" s="32">
        <v>17</v>
      </c>
      <c r="T31" s="32">
        <v>828.37938155389304</v>
      </c>
      <c r="AG31" s="13"/>
      <c r="AH31" s="13"/>
      <c r="AI31" s="13"/>
      <c r="AK31" s="33">
        <v>18</v>
      </c>
      <c r="AL31" s="34">
        <v>0</v>
      </c>
      <c r="AM31" s="31"/>
      <c r="AN31" s="13"/>
      <c r="AP31">
        <v>8</v>
      </c>
      <c r="AQ31" s="13">
        <f t="shared" si="14"/>
        <v>244</v>
      </c>
      <c r="AS31" s="13"/>
      <c r="AT31" s="13"/>
    </row>
    <row r="32" spans="2:46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612.21444100911799</v>
      </c>
      <c r="P32" s="31">
        <f t="shared" si="12"/>
        <v>16.2</v>
      </c>
      <c r="Q32" s="13">
        <f t="shared" si="13"/>
        <v>680.23826778790885</v>
      </c>
      <c r="S32" s="32">
        <v>18</v>
      </c>
      <c r="T32" s="32">
        <v>982.80229034247895</v>
      </c>
      <c r="AG32" s="13"/>
      <c r="AH32" s="13"/>
      <c r="AI32" s="13"/>
      <c r="AK32" s="33">
        <v>19</v>
      </c>
      <c r="AL32" s="34">
        <v>0</v>
      </c>
      <c r="AM32" s="31"/>
      <c r="AN32" s="13"/>
      <c r="AP32">
        <v>9</v>
      </c>
      <c r="AQ32" s="13">
        <f t="shared" si="14"/>
        <v>305</v>
      </c>
      <c r="AS32" s="13"/>
      <c r="AT32" s="13"/>
    </row>
    <row r="33" spans="2:46" x14ac:dyDescent="0.25">
      <c r="B33" s="35"/>
      <c r="G33" s="36"/>
      <c r="L33" s="24"/>
      <c r="N33" s="29">
        <v>19</v>
      </c>
      <c r="O33" s="30">
        <v>690.2395284260607</v>
      </c>
      <c r="P33" s="31">
        <f t="shared" si="12"/>
        <v>17.100000000000001</v>
      </c>
      <c r="Q33" s="13">
        <f t="shared" si="13"/>
        <v>766.93280936228962</v>
      </c>
      <c r="S33" s="32">
        <v>19</v>
      </c>
      <c r="T33" s="32">
        <v>1137.22519913106</v>
      </c>
      <c r="AG33" s="13"/>
      <c r="AH33" s="13"/>
      <c r="AI33" s="13"/>
      <c r="AK33" s="33">
        <v>20</v>
      </c>
      <c r="AL33" s="34">
        <v>0</v>
      </c>
      <c r="AM33" s="31"/>
      <c r="AN33" s="13"/>
      <c r="AP33">
        <v>10</v>
      </c>
      <c r="AQ33" s="13">
        <f t="shared" si="14"/>
        <v>366</v>
      </c>
      <c r="AS33" s="13"/>
      <c r="AT33" s="13"/>
    </row>
    <row r="34" spans="2:46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773.43403189491232</v>
      </c>
      <c r="P34" s="31">
        <f t="shared" si="12"/>
        <v>18</v>
      </c>
      <c r="Q34" s="13">
        <f t="shared" si="13"/>
        <v>859.37114654990251</v>
      </c>
      <c r="S34" s="32">
        <v>20</v>
      </c>
      <c r="T34" s="32">
        <v>1291.6481079196501</v>
      </c>
      <c r="AG34" s="13"/>
      <c r="AH34" s="13"/>
      <c r="AI34" s="13"/>
      <c r="AK34" s="33">
        <v>21</v>
      </c>
      <c r="AL34" s="34">
        <v>0</v>
      </c>
      <c r="AM34" s="31"/>
      <c r="AN34" s="13"/>
      <c r="AP34">
        <v>11</v>
      </c>
      <c r="AQ34" s="13">
        <f t="shared" si="14"/>
        <v>427</v>
      </c>
      <c r="AS34" s="13"/>
      <c r="AT34" s="13"/>
    </row>
    <row r="35" spans="2:46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>
        <v>861.85627343719625</v>
      </c>
      <c r="P35" s="31">
        <f t="shared" si="12"/>
        <v>18.900000000000002</v>
      </c>
      <c r="Q35" s="13">
        <f t="shared" si="13"/>
        <v>957.61808159688474</v>
      </c>
      <c r="S35" s="32">
        <v>21</v>
      </c>
      <c r="T35" s="32">
        <v>1446.07101670824</v>
      </c>
      <c r="AG35" s="13"/>
      <c r="AH35" s="13"/>
      <c r="AI35" s="13"/>
      <c r="AK35" s="33">
        <v>22</v>
      </c>
      <c r="AL35" s="34">
        <v>0</v>
      </c>
      <c r="AM35" s="31"/>
      <c r="AN35" s="13"/>
      <c r="AP35">
        <v>12</v>
      </c>
      <c r="AQ35" s="13">
        <f t="shared" si="14"/>
        <v>488</v>
      </c>
      <c r="AS35" s="13"/>
      <c r="AT35" s="13"/>
    </row>
    <row r="36" spans="2:46" x14ac:dyDescent="0.25">
      <c r="B36" s="35"/>
      <c r="L36" s="24"/>
      <c r="N36" s="29">
        <v>22</v>
      </c>
      <c r="O36" s="30">
        <v>955.56233759819918</v>
      </c>
      <c r="P36" s="31">
        <f t="shared" si="12"/>
        <v>19.8</v>
      </c>
      <c r="Q36" s="13">
        <f t="shared" si="13"/>
        <v>1061.7359306646658</v>
      </c>
      <c r="S36" s="32">
        <v>22</v>
      </c>
      <c r="T36" s="32">
        <v>1600.4939254968201</v>
      </c>
      <c r="AG36" s="13"/>
      <c r="AH36" s="13"/>
      <c r="AI36" s="13"/>
      <c r="AK36" s="33">
        <v>23</v>
      </c>
      <c r="AL36" s="34">
        <v>0</v>
      </c>
      <c r="AM36" s="31"/>
      <c r="AN36" s="13"/>
      <c r="AP36">
        <v>13</v>
      </c>
      <c r="AQ36" s="13">
        <f t="shared" si="14"/>
        <v>549</v>
      </c>
      <c r="AS36" s="13"/>
      <c r="AT36" s="13"/>
    </row>
    <row r="37" spans="2:46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>
        <v>1054.6062580959792</v>
      </c>
      <c r="P37" s="31">
        <f t="shared" si="12"/>
        <v>20.7</v>
      </c>
      <c r="Q37" s="13">
        <f t="shared" si="13"/>
        <v>1171.7847312177546</v>
      </c>
      <c r="S37" s="32">
        <v>23</v>
      </c>
      <c r="T37" s="32">
        <v>1754.91683428541</v>
      </c>
      <c r="AG37" s="13"/>
      <c r="AH37" s="13"/>
      <c r="AI37" s="13"/>
      <c r="AK37" s="33">
        <v>24</v>
      </c>
      <c r="AL37" s="34">
        <v>0</v>
      </c>
      <c r="AM37" s="31"/>
      <c r="AN37" s="13"/>
      <c r="AP37">
        <v>14</v>
      </c>
      <c r="AQ37" s="13">
        <f t="shared" si="14"/>
        <v>610</v>
      </c>
      <c r="AS37" s="13"/>
      <c r="AT37" s="13"/>
    </row>
    <row r="38" spans="2:46" x14ac:dyDescent="0.25">
      <c r="B38" s="35"/>
      <c r="G38" s="13"/>
      <c r="L38" s="24"/>
      <c r="N38" s="29">
        <v>24</v>
      </c>
      <c r="O38" s="30">
        <v>1159.0401812346363</v>
      </c>
      <c r="P38" s="31">
        <f t="shared" si="12"/>
        <v>21.6</v>
      </c>
      <c r="Q38" s="13">
        <f t="shared" si="13"/>
        <v>1287.8224235940404</v>
      </c>
      <c r="S38" s="32">
        <v>24</v>
      </c>
      <c r="T38" s="32">
        <v>1909.3397430739899</v>
      </c>
      <c r="AG38" s="13"/>
      <c r="AH38" s="13"/>
      <c r="AI38" s="13"/>
      <c r="AK38" s="33">
        <v>25</v>
      </c>
      <c r="AL38" s="34">
        <v>0</v>
      </c>
      <c r="AM38" s="31"/>
      <c r="AN38" s="13"/>
      <c r="AP38">
        <v>15</v>
      </c>
      <c r="AQ38" s="13">
        <f t="shared" si="14"/>
        <v>671</v>
      </c>
      <c r="AS38" s="13"/>
      <c r="AT38" s="13"/>
    </row>
    <row r="39" spans="2:46" x14ac:dyDescent="0.25">
      <c r="B39" s="35"/>
      <c r="G39" s="13"/>
      <c r="J39" s="31"/>
      <c r="L39" s="24"/>
      <c r="N39" s="29">
        <v>25</v>
      </c>
      <c r="O39" s="30">
        <v>1268.9145098478018</v>
      </c>
      <c r="P39" s="31">
        <f t="shared" si="12"/>
        <v>22.5</v>
      </c>
      <c r="Q39" s="13">
        <f t="shared" si="13"/>
        <v>1409.905010942002</v>
      </c>
      <c r="S39" s="44">
        <v>25</v>
      </c>
      <c r="T39" s="32">
        <v>2063.7626518625798</v>
      </c>
      <c r="AE39" s="13"/>
      <c r="AF39" s="13"/>
      <c r="AG39" s="13"/>
      <c r="AH39" s="13"/>
      <c r="AI39" s="13"/>
      <c r="AK39" s="33">
        <v>26</v>
      </c>
      <c r="AL39" s="34">
        <v>0</v>
      </c>
      <c r="AM39" s="31"/>
      <c r="AN39" s="13"/>
      <c r="AP39">
        <v>16</v>
      </c>
      <c r="AQ39" s="13">
        <f t="shared" si="14"/>
        <v>732</v>
      </c>
      <c r="AS39" s="13"/>
      <c r="AT39" s="13"/>
    </row>
    <row r="40" spans="2:46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>
        <v>1384.278030797921</v>
      </c>
      <c r="P40" s="31">
        <f t="shared" si="12"/>
        <v>23.400000000000002</v>
      </c>
      <c r="Q40" s="13">
        <f t="shared" si="13"/>
        <v>1538.0867008865789</v>
      </c>
      <c r="S40" s="44">
        <v>26</v>
      </c>
      <c r="T40" s="32">
        <v>2218.1855606511699</v>
      </c>
      <c r="AE40" s="13"/>
      <c r="AF40" s="13"/>
      <c r="AG40" s="13"/>
      <c r="AH40" s="13"/>
      <c r="AI40" s="13"/>
      <c r="AK40" s="33">
        <v>27</v>
      </c>
      <c r="AL40" s="34">
        <v>0</v>
      </c>
      <c r="AM40" s="31"/>
      <c r="AN40" s="13"/>
      <c r="AP40">
        <v>17</v>
      </c>
      <c r="AQ40" s="13">
        <f t="shared" si="14"/>
        <v>793</v>
      </c>
      <c r="AS40" s="13"/>
      <c r="AT40" s="13"/>
    </row>
    <row r="41" spans="2:46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>
        <v>1505.1780284855984</v>
      </c>
      <c r="P41" s="31">
        <f t="shared" si="12"/>
        <v>24.3</v>
      </c>
      <c r="Q41" s="13">
        <f t="shared" si="13"/>
        <v>1672.4200316506649</v>
      </c>
      <c r="S41" s="44">
        <v>27</v>
      </c>
      <c r="T41" s="32">
        <v>2372.60846943975</v>
      </c>
      <c r="AE41" s="13"/>
      <c r="AF41" s="13"/>
      <c r="AG41" s="13"/>
      <c r="AH41" s="13"/>
      <c r="AI41" s="13"/>
      <c r="AK41" s="33">
        <v>28</v>
      </c>
      <c r="AL41" s="34">
        <v>0</v>
      </c>
      <c r="AM41" s="31"/>
      <c r="AN41" s="13"/>
      <c r="AP41">
        <v>18</v>
      </c>
      <c r="AQ41" s="13">
        <f t="shared" si="14"/>
        <v>854</v>
      </c>
      <c r="AS41" s="13"/>
      <c r="AT41" s="13"/>
    </row>
    <row r="42" spans="2:46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>
        <v>1631.6603863775536</v>
      </c>
      <c r="P42" s="31">
        <f t="shared" si="12"/>
        <v>25.2</v>
      </c>
      <c r="Q42" s="13">
        <f t="shared" si="13"/>
        <v>1812.9559848639483</v>
      </c>
      <c r="S42" s="44">
        <v>28</v>
      </c>
      <c r="T42" s="32">
        <v>2527.0313782283401</v>
      </c>
      <c r="AE42" s="13"/>
      <c r="AF42" s="13"/>
      <c r="AG42" s="13"/>
      <c r="AH42" s="13"/>
      <c r="AI42" s="13"/>
      <c r="AK42" s="33">
        <v>29</v>
      </c>
      <c r="AL42" s="34">
        <v>0</v>
      </c>
      <c r="AM42" s="31"/>
      <c r="AN42" s="13"/>
      <c r="AP42">
        <v>19</v>
      </c>
      <c r="AQ42" s="13">
        <f t="shared" si="14"/>
        <v>915</v>
      </c>
      <c r="AS42" s="13"/>
      <c r="AT42" s="13"/>
    </row>
    <row r="43" spans="2:46" x14ac:dyDescent="0.25">
      <c r="N43" s="29">
        <v>29</v>
      </c>
      <c r="O43" s="30">
        <v>1763.7696782102973</v>
      </c>
      <c r="P43" s="31">
        <f t="shared" si="12"/>
        <v>26.1</v>
      </c>
      <c r="Q43" s="13">
        <f t="shared" si="13"/>
        <v>1959.7440869003303</v>
      </c>
      <c r="S43" s="44">
        <v>29</v>
      </c>
      <c r="T43" s="32">
        <v>2681.4542870169198</v>
      </c>
      <c r="AE43" s="13"/>
      <c r="AF43" s="13"/>
      <c r="AG43" s="13"/>
      <c r="AH43" s="13"/>
      <c r="AI43" s="13"/>
      <c r="AK43" s="33">
        <v>30</v>
      </c>
      <c r="AL43" s="34">
        <v>0</v>
      </c>
      <c r="AM43" s="31"/>
      <c r="AN43" s="13"/>
      <c r="AP43">
        <v>20</v>
      </c>
      <c r="AQ43" s="13">
        <f t="shared" si="14"/>
        <v>976</v>
      </c>
      <c r="AS43" s="13"/>
      <c r="AT43" s="13"/>
    </row>
    <row r="44" spans="2:46" x14ac:dyDescent="0.25">
      <c r="N44" s="29">
        <v>30</v>
      </c>
      <c r="O44" s="30">
        <v>1901.5492502469629</v>
      </c>
      <c r="P44" s="31">
        <f t="shared" si="12"/>
        <v>27</v>
      </c>
      <c r="Q44" s="13">
        <f t="shared" si="13"/>
        <v>2112.8325002744032</v>
      </c>
      <c r="S44" s="44">
        <v>30</v>
      </c>
      <c r="T44" s="32">
        <v>2835.8771958055099</v>
      </c>
      <c r="AE44" s="13"/>
      <c r="AF44" s="13"/>
      <c r="AG44" s="13"/>
      <c r="AH44" s="13"/>
      <c r="AI44" s="13"/>
      <c r="AK44" s="33"/>
      <c r="AL44" s="34"/>
      <c r="AM44" s="31"/>
      <c r="AN44" s="13"/>
      <c r="AP44">
        <v>21</v>
      </c>
      <c r="AQ44" s="13">
        <f t="shared" si="14"/>
        <v>1037</v>
      </c>
    </row>
    <row r="45" spans="2:46" x14ac:dyDescent="0.25">
      <c r="N45" s="29">
        <v>31</v>
      </c>
      <c r="O45" s="30">
        <v>2045.0412957402482</v>
      </c>
      <c r="P45" s="31">
        <f t="shared" si="12"/>
        <v>27.900000000000002</v>
      </c>
      <c r="Q45" s="13">
        <f t="shared" si="13"/>
        <v>2272.2681063780533</v>
      </c>
      <c r="S45" s="44">
        <v>31</v>
      </c>
      <c r="T45" s="32">
        <v>2990.30010459409</v>
      </c>
      <c r="AE45" s="13"/>
      <c r="AF45" s="13"/>
      <c r="AG45" s="13"/>
      <c r="AH45" s="13"/>
      <c r="AI45" s="13"/>
      <c r="AK45" s="33"/>
      <c r="AL45" s="34"/>
      <c r="AM45" s="31"/>
      <c r="AN45" s="13"/>
      <c r="AP45">
        <v>22</v>
      </c>
      <c r="AQ45" s="13">
        <f t="shared" si="14"/>
        <v>1098</v>
      </c>
    </row>
    <row r="46" spans="2:46" x14ac:dyDescent="0.25">
      <c r="N46" s="29">
        <v>32</v>
      </c>
      <c r="O46" s="30">
        <v>2194.2869225726254</v>
      </c>
      <c r="P46" s="31">
        <f t="shared" si="12"/>
        <v>28.8</v>
      </c>
      <c r="Q46" s="13">
        <f t="shared" si="13"/>
        <v>2438.0965806362506</v>
      </c>
      <c r="S46" s="44">
        <v>32</v>
      </c>
      <c r="T46" s="32">
        <v>3180.7522782722499</v>
      </c>
      <c r="AE46" s="13"/>
      <c r="AF46" s="13"/>
      <c r="AG46" s="13"/>
      <c r="AH46" s="13"/>
      <c r="AI46" s="13"/>
      <c r="AK46" s="33"/>
      <c r="AL46" s="34"/>
      <c r="AM46" s="31"/>
      <c r="AN46" s="13"/>
      <c r="AP46">
        <v>23</v>
      </c>
      <c r="AQ46" s="13">
        <f t="shared" si="14"/>
        <v>1159</v>
      </c>
    </row>
    <row r="47" spans="2:46" x14ac:dyDescent="0.25">
      <c r="N47" s="29">
        <v>33</v>
      </c>
      <c r="O47" s="30">
        <v>2349.3262148968565</v>
      </c>
      <c r="P47" s="31">
        <f t="shared" si="12"/>
        <v>29.7</v>
      </c>
      <c r="Q47" s="13">
        <f t="shared" si="13"/>
        <v>2610.3624609965073</v>
      </c>
      <c r="S47" s="44">
        <v>33</v>
      </c>
      <c r="T47" s="32">
        <v>3443.79393939394</v>
      </c>
      <c r="AE47" s="13"/>
      <c r="AF47" s="13"/>
      <c r="AG47" s="13"/>
      <c r="AH47" s="13"/>
      <c r="AI47" s="13"/>
      <c r="AK47" s="33"/>
      <c r="AL47" s="34"/>
      <c r="AM47" s="31"/>
      <c r="AN47" s="13"/>
      <c r="AP47">
        <v>24</v>
      </c>
      <c r="AQ47" s="13">
        <f t="shared" si="14"/>
        <v>1220</v>
      </c>
    </row>
    <row r="48" spans="2:46" x14ac:dyDescent="0.25">
      <c r="N48" s="29">
        <v>34</v>
      </c>
      <c r="O48" s="30">
        <v>2510.1982894781477</v>
      </c>
      <c r="P48" s="31">
        <f t="shared" si="12"/>
        <v>30.6</v>
      </c>
      <c r="Q48" s="13">
        <f t="shared" si="13"/>
        <v>2789.109210531275</v>
      </c>
      <c r="S48" s="44">
        <v>34</v>
      </c>
      <c r="T48" s="32">
        <v>3709.7636363636402</v>
      </c>
      <c r="AE48" s="13"/>
      <c r="AF48" s="13"/>
      <c r="AG48" s="13"/>
      <c r="AH48" s="13"/>
      <c r="AI48" s="13"/>
      <c r="AK48" s="33"/>
      <c r="AL48" s="34"/>
      <c r="AM48" s="31"/>
      <c r="AN48" s="13"/>
      <c r="AP48">
        <v>25</v>
      </c>
      <c r="AQ48" s="13">
        <f t="shared" si="14"/>
        <v>1281</v>
      </c>
    </row>
    <row r="49" spans="14:43" x14ac:dyDescent="0.25">
      <c r="N49" s="29">
        <v>35</v>
      </c>
      <c r="O49" s="30">
        <v>2676.9413473386726</v>
      </c>
      <c r="P49" s="31">
        <f t="shared" si="12"/>
        <v>31.5</v>
      </c>
      <c r="Q49" s="13">
        <f t="shared" si="13"/>
        <v>2974.3792748207475</v>
      </c>
      <c r="S49" s="44">
        <v>35</v>
      </c>
      <c r="T49" s="32">
        <v>3975.7333333333299</v>
      </c>
      <c r="AE49" s="13"/>
      <c r="AF49" s="13"/>
      <c r="AG49" s="13"/>
      <c r="AH49" s="13"/>
      <c r="AI49" s="13"/>
      <c r="AK49" s="33"/>
      <c r="AL49" s="34"/>
      <c r="AM49" s="31"/>
      <c r="AN49" s="13"/>
      <c r="AP49">
        <v>26</v>
      </c>
      <c r="AQ49" s="13">
        <f t="shared" si="14"/>
        <v>1342</v>
      </c>
    </row>
    <row r="50" spans="14:43" x14ac:dyDescent="0.25">
      <c r="N50" s="29">
        <v>36</v>
      </c>
      <c r="O50" s="30">
        <v>2849.5927212216097</v>
      </c>
      <c r="P50" s="31">
        <f t="shared" si="12"/>
        <v>32.4</v>
      </c>
      <c r="Q50" s="13">
        <f t="shared" si="13"/>
        <v>3166.2141346906774</v>
      </c>
      <c r="S50" s="44">
        <v>36</v>
      </c>
      <c r="T50" s="32">
        <v>4241.7030303030297</v>
      </c>
      <c r="AE50" s="13"/>
      <c r="AF50" s="13"/>
      <c r="AG50" s="13"/>
      <c r="AH50" s="13"/>
      <c r="AI50" s="13"/>
      <c r="AK50" s="33"/>
      <c r="AL50" s="34"/>
      <c r="AM50" s="31"/>
      <c r="AN50" s="13"/>
      <c r="AP50">
        <v>27</v>
      </c>
      <c r="AQ50" s="13">
        <f t="shared" si="14"/>
        <v>1403</v>
      </c>
    </row>
    <row r="51" spans="14:43" x14ac:dyDescent="0.25">
      <c r="N51" s="29">
        <v>37</v>
      </c>
      <c r="O51" s="30">
        <v>3028.1889193218121</v>
      </c>
      <c r="P51" s="52">
        <f t="shared" si="12"/>
        <v>33.300000000000004</v>
      </c>
      <c r="Q51" s="53">
        <f t="shared" si="13"/>
        <v>3364.6543548020136</v>
      </c>
      <c r="S51" s="44">
        <v>37</v>
      </c>
      <c r="T51" s="32">
        <v>4507.6727272727303</v>
      </c>
      <c r="AE51" s="13"/>
      <c r="AF51" s="13"/>
      <c r="AG51" s="13"/>
      <c r="AK51" s="33"/>
      <c r="AL51" s="34"/>
      <c r="AM51" s="31"/>
      <c r="AN51" s="13"/>
      <c r="AP51">
        <v>28</v>
      </c>
      <c r="AQ51" s="13">
        <f t="shared" si="14"/>
        <v>1464</v>
      </c>
    </row>
    <row r="52" spans="14:43" x14ac:dyDescent="0.25">
      <c r="N52" s="29">
        <v>38</v>
      </c>
      <c r="O52" s="30">
        <v>3212.7656656714589</v>
      </c>
      <c r="P52" s="31">
        <f t="shared" si="12"/>
        <v>34.200000000000003</v>
      </c>
      <c r="Q52" s="13">
        <f t="shared" si="13"/>
        <v>3569.7396285238433</v>
      </c>
      <c r="S52" s="44">
        <v>38</v>
      </c>
      <c r="T52" s="32">
        <v>4773.64242424243</v>
      </c>
      <c r="AK52" s="33"/>
      <c r="AL52" s="34"/>
      <c r="AM52" s="31"/>
      <c r="AN52" s="13"/>
      <c r="AP52">
        <v>29</v>
      </c>
      <c r="AQ52" s="13">
        <f t="shared" si="14"/>
        <v>1525</v>
      </c>
    </row>
    <row r="53" spans="14:43" x14ac:dyDescent="0.25">
      <c r="N53" s="29">
        <v>39</v>
      </c>
      <c r="O53" s="30">
        <v>3403.3579375193294</v>
      </c>
      <c r="P53" s="31">
        <f t="shared" si="12"/>
        <v>35.1</v>
      </c>
      <c r="Q53" s="13">
        <f t="shared" si="13"/>
        <v>3781.5088194659215</v>
      </c>
      <c r="S53" s="44">
        <v>39</v>
      </c>
      <c r="T53" s="32">
        <v>5039.6121212121197</v>
      </c>
      <c r="AK53" s="33"/>
      <c r="AL53" s="34"/>
      <c r="AM53" s="31"/>
      <c r="AN53" s="13"/>
      <c r="AP53">
        <v>30</v>
      </c>
      <c r="AQ53" s="13">
        <f t="shared" si="14"/>
        <v>1586</v>
      </c>
    </row>
    <row r="54" spans="14:43" x14ac:dyDescent="0.25">
      <c r="N54" s="29">
        <v>40</v>
      </c>
      <c r="O54" s="30">
        <v>3600</v>
      </c>
      <c r="P54" s="31">
        <f t="shared" si="12"/>
        <v>36</v>
      </c>
      <c r="Q54" s="13">
        <f t="shared" si="13"/>
        <v>4000</v>
      </c>
      <c r="S54" s="44">
        <v>40</v>
      </c>
      <c r="T54" s="32">
        <v>5305.5818181818204</v>
      </c>
      <c r="AK54" s="33"/>
      <c r="AL54" s="34"/>
      <c r="AQ54" s="13"/>
    </row>
    <row r="55" spans="14:43" x14ac:dyDescent="0.25">
      <c r="N55" s="29">
        <v>41</v>
      </c>
      <c r="O55" s="30"/>
      <c r="P55" s="31">
        <f t="shared" si="12"/>
        <v>36.9</v>
      </c>
      <c r="Q55" s="13">
        <f t="shared" si="13"/>
        <v>0</v>
      </c>
      <c r="S55" s="44">
        <v>41</v>
      </c>
      <c r="T55" s="32">
        <v>5571.5515151515201</v>
      </c>
      <c r="AK55" s="33"/>
      <c r="AL55" s="34"/>
      <c r="AQ55" s="13"/>
    </row>
    <row r="56" spans="14:43" x14ac:dyDescent="0.25">
      <c r="N56" s="29">
        <v>42</v>
      </c>
      <c r="O56" s="30"/>
      <c r="P56" s="31">
        <f t="shared" si="12"/>
        <v>37.800000000000004</v>
      </c>
      <c r="Q56" s="13">
        <f t="shared" si="13"/>
        <v>0</v>
      </c>
      <c r="S56" s="44">
        <v>42</v>
      </c>
      <c r="T56" s="32">
        <v>5837.5212121212098</v>
      </c>
      <c r="AK56" s="33"/>
      <c r="AL56" s="34"/>
      <c r="AQ56" s="13"/>
    </row>
    <row r="57" spans="14:43" x14ac:dyDescent="0.25">
      <c r="N57" s="29">
        <v>43</v>
      </c>
      <c r="O57" s="30"/>
      <c r="P57" s="48">
        <f t="shared" si="12"/>
        <v>38.700000000000003</v>
      </c>
      <c r="Q57" s="46">
        <f t="shared" si="13"/>
        <v>0</v>
      </c>
      <c r="S57" s="44">
        <v>43</v>
      </c>
      <c r="T57" s="32">
        <v>6098.0786046498197</v>
      </c>
      <c r="AK57" s="33"/>
      <c r="AL57" s="34"/>
      <c r="AQ57" s="13"/>
    </row>
    <row r="58" spans="14:43" x14ac:dyDescent="0.25">
      <c r="N58" s="29">
        <v>44</v>
      </c>
      <c r="O58" s="30"/>
      <c r="P58" s="31">
        <f t="shared" si="12"/>
        <v>39.6</v>
      </c>
      <c r="Q58" s="13">
        <f t="shared" si="13"/>
        <v>0</v>
      </c>
      <c r="S58" s="44">
        <v>44</v>
      </c>
      <c r="T58" s="32">
        <v>6355.1371416858401</v>
      </c>
      <c r="AK58" s="33"/>
      <c r="AL58" s="34"/>
      <c r="AQ58" s="13"/>
    </row>
    <row r="59" spans="14:43" x14ac:dyDescent="0.25">
      <c r="N59" s="29">
        <v>45</v>
      </c>
      <c r="O59" s="30"/>
      <c r="P59" s="52">
        <f t="shared" si="12"/>
        <v>40.5</v>
      </c>
      <c r="Q59" s="53">
        <f t="shared" si="13"/>
        <v>0</v>
      </c>
      <c r="S59" s="44">
        <v>45</v>
      </c>
      <c r="T59" s="32">
        <v>6612.1956787218596</v>
      </c>
      <c r="AK59" s="33"/>
      <c r="AL59" s="34"/>
      <c r="AQ59" s="13"/>
    </row>
    <row r="60" spans="14:43" x14ac:dyDescent="0.25">
      <c r="N60" s="29">
        <v>46</v>
      </c>
      <c r="O60" s="30"/>
      <c r="P60" s="31">
        <f t="shared" si="12"/>
        <v>41.4</v>
      </c>
      <c r="Q60" s="13">
        <f t="shared" si="13"/>
        <v>0</v>
      </c>
      <c r="S60" s="44"/>
      <c r="T60" s="32"/>
      <c r="AK60" s="33"/>
      <c r="AL60" s="34"/>
      <c r="AQ60" s="13"/>
    </row>
    <row r="61" spans="14:43" x14ac:dyDescent="0.25">
      <c r="N61" s="29">
        <v>47</v>
      </c>
      <c r="O61" s="30"/>
      <c r="P61" s="31">
        <f t="shared" si="12"/>
        <v>42.300000000000004</v>
      </c>
      <c r="Q61" s="13">
        <f t="shared" si="13"/>
        <v>0</v>
      </c>
      <c r="S61" s="44"/>
      <c r="T61" s="32"/>
      <c r="AK61" s="33"/>
      <c r="AL61" s="34"/>
      <c r="AQ61" s="13"/>
    </row>
    <row r="62" spans="14:43" x14ac:dyDescent="0.25">
      <c r="N62" s="29">
        <v>48</v>
      </c>
      <c r="O62" s="30"/>
      <c r="P62" s="31">
        <f t="shared" si="12"/>
        <v>43.2</v>
      </c>
      <c r="Q62" s="13">
        <f t="shared" si="13"/>
        <v>0</v>
      </c>
      <c r="S62" s="44"/>
      <c r="T62" s="32"/>
      <c r="AK62" s="33"/>
      <c r="AL62" s="34"/>
      <c r="AQ62" s="13"/>
    </row>
    <row r="63" spans="14:43" x14ac:dyDescent="0.25">
      <c r="N63" s="29">
        <v>49</v>
      </c>
      <c r="O63" s="30"/>
      <c r="P63" s="31">
        <f t="shared" si="12"/>
        <v>44.1</v>
      </c>
      <c r="Q63" s="13">
        <f t="shared" si="13"/>
        <v>0</v>
      </c>
      <c r="S63" s="44"/>
      <c r="T63" s="32"/>
      <c r="AK63" s="33"/>
      <c r="AL63" s="34"/>
      <c r="AQ63" s="13"/>
    </row>
    <row r="64" spans="14:43" x14ac:dyDescent="0.25">
      <c r="N64" s="29">
        <v>50</v>
      </c>
      <c r="O64" s="30"/>
      <c r="P64" s="31">
        <f t="shared" si="12"/>
        <v>45</v>
      </c>
      <c r="Q64" s="13">
        <f t="shared" si="13"/>
        <v>0</v>
      </c>
      <c r="S64" s="44"/>
      <c r="T64" s="32"/>
      <c r="AQ64" s="13"/>
    </row>
    <row r="65" spans="43:43" x14ac:dyDescent="0.25">
      <c r="AQ65" s="13"/>
    </row>
    <row r="66" spans="43:43" x14ac:dyDescent="0.25">
      <c r="AQ66" s="13"/>
    </row>
    <row r="67" spans="43:43" x14ac:dyDescent="0.25">
      <c r="AQ67" s="13"/>
    </row>
    <row r="68" spans="43:43" x14ac:dyDescent="0.25">
      <c r="AQ68" s="13"/>
    </row>
    <row r="69" spans="43:43" x14ac:dyDescent="0.25">
      <c r="AQ69" s="13"/>
    </row>
    <row r="70" spans="43:43" x14ac:dyDescent="0.25">
      <c r="AQ70" s="13"/>
    </row>
    <row r="71" spans="43:43" x14ac:dyDescent="0.25">
      <c r="AQ71" s="13"/>
    </row>
    <row r="72" spans="43:43" x14ac:dyDescent="0.25">
      <c r="AQ72" s="13"/>
    </row>
    <row r="73" spans="43:43" x14ac:dyDescent="0.25">
      <c r="AQ73" s="13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B245-2CD2-449E-95E4-5124D965620A}">
  <sheetPr>
    <tabColor rgb="FFFFC000"/>
  </sheetPr>
  <dimension ref="B2:AW74"/>
  <sheetViews>
    <sheetView topLeftCell="D1" zoomScale="85" zoomScaleNormal="85" workbookViewId="0">
      <selection activeCell="U46" sqref="U46"/>
    </sheetView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7" width="9.7109375" customWidth="1"/>
    <col min="42" max="42" width="11.42578125" bestFit="1" customWidth="1"/>
  </cols>
  <sheetData>
    <row r="2" spans="2:49" x14ac:dyDescent="0.25">
      <c r="B2" s="1" t="s">
        <v>0</v>
      </c>
    </row>
    <row r="3" spans="2:49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2" t="s">
        <v>14</v>
      </c>
      <c r="AE3" s="8" t="s">
        <v>15</v>
      </c>
      <c r="AG3" s="8" t="s">
        <v>16</v>
      </c>
      <c r="AH3" s="8" t="s">
        <v>17</v>
      </c>
      <c r="AI3" s="8"/>
      <c r="AJ3" s="8" t="s">
        <v>18</v>
      </c>
      <c r="AK3" s="8"/>
      <c r="AM3" t="s">
        <v>10</v>
      </c>
      <c r="AR3" t="s">
        <v>19</v>
      </c>
    </row>
    <row r="4" spans="2:49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G4" s="13">
        <f>P4/O4</f>
        <v>3131.1111111111109</v>
      </c>
      <c r="AH4" s="13">
        <f>U4/T4</f>
        <v>2834.0740740740739</v>
      </c>
      <c r="AI4" s="13"/>
      <c r="AJ4" s="13">
        <f>Z4/Y4</f>
        <v>2621.1111111111109</v>
      </c>
      <c r="AK4" s="13"/>
      <c r="AM4" s="13">
        <f>K4</f>
        <v>790.5</v>
      </c>
      <c r="AN4" s="13">
        <f>P4</f>
        <v>1409</v>
      </c>
      <c r="AO4" s="13">
        <f>U4</f>
        <v>1913</v>
      </c>
      <c r="AP4" s="13">
        <f>Z4</f>
        <v>2359</v>
      </c>
      <c r="AR4" s="14">
        <f>J4</f>
        <v>0.22500000000000001</v>
      </c>
      <c r="AS4" s="14">
        <f>O4</f>
        <v>0.45</v>
      </c>
      <c r="AT4" s="14">
        <f>T4</f>
        <v>0.67500000000000004</v>
      </c>
      <c r="AU4" s="14">
        <f>Y4</f>
        <v>0.9</v>
      </c>
    </row>
    <row r="5" spans="2:49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G5" s="13">
        <v>4405.7142857142853</v>
      </c>
      <c r="AH5" s="13">
        <v>4008.8945362134687</v>
      </c>
      <c r="AI5" s="13"/>
      <c r="AJ5" s="13">
        <v>3721.9047619047619</v>
      </c>
      <c r="AK5" s="13"/>
      <c r="AM5" s="13">
        <f t="shared" ref="AM5" si="0">K5</f>
        <v>1291</v>
      </c>
      <c r="AN5" s="13">
        <f t="shared" ref="AN5" si="1">P5</f>
        <v>2313</v>
      </c>
      <c r="AO5" s="13">
        <f t="shared" ref="AO5" si="2">U5</f>
        <v>3155</v>
      </c>
      <c r="AP5" s="13">
        <f t="shared" ref="AP5" si="3">Z5</f>
        <v>3908</v>
      </c>
      <c r="AR5" s="14">
        <f t="shared" ref="AR5" si="4">J5</f>
        <v>0.26200000000000001</v>
      </c>
      <c r="AS5" s="14">
        <f t="shared" ref="AS5" si="5">O5</f>
        <v>0.52500000000000002</v>
      </c>
      <c r="AT5" s="14">
        <f t="shared" ref="AT5" si="6">T5</f>
        <v>0.78700000000000003</v>
      </c>
      <c r="AU5" s="14">
        <f t="shared" ref="AU5" si="7">Y5</f>
        <v>1.05</v>
      </c>
    </row>
    <row r="6" spans="2:49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G6" s="13">
        <f>P6/O6</f>
        <v>6659.9999999999991</v>
      </c>
      <c r="AH6" s="13">
        <f>U6/T6</f>
        <v>6265.454545454546</v>
      </c>
      <c r="AI6" s="13"/>
      <c r="AJ6" s="13">
        <f>Z6/Y6</f>
        <v>5981.8181818181811</v>
      </c>
      <c r="AK6" s="13"/>
      <c r="AM6" s="13">
        <f>K6</f>
        <v>1972</v>
      </c>
      <c r="AN6" s="13">
        <f>P6</f>
        <v>3663</v>
      </c>
      <c r="AO6" s="13">
        <f>U6</f>
        <v>5169</v>
      </c>
      <c r="AP6" s="13">
        <f>Z6</f>
        <v>6580</v>
      </c>
      <c r="AR6" s="14">
        <f>J6</f>
        <v>0.27500000000000002</v>
      </c>
      <c r="AS6" s="14">
        <f>O6</f>
        <v>0.55000000000000004</v>
      </c>
      <c r="AT6" s="14">
        <f>T6</f>
        <v>0.82499999999999996</v>
      </c>
      <c r="AU6" s="14">
        <f>Y6</f>
        <v>1.1000000000000001</v>
      </c>
    </row>
    <row r="7" spans="2:49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G7" s="13">
        <f>P7/O7</f>
        <v>9418.8235294117658</v>
      </c>
      <c r="AH7" s="13">
        <f>U7/T7</f>
        <v>9078.4929356357934</v>
      </c>
      <c r="AI7" s="13"/>
      <c r="AJ7" s="13">
        <f>Z7/Y7</f>
        <v>8821.176470588236</v>
      </c>
      <c r="AK7" s="13"/>
      <c r="AM7" s="13">
        <f>K7</f>
        <v>2097</v>
      </c>
      <c r="AN7" s="13">
        <f>P7</f>
        <v>4003</v>
      </c>
      <c r="AO7" s="13">
        <f>U7</f>
        <v>5783</v>
      </c>
      <c r="AP7" s="13">
        <f>Z7</f>
        <v>7498</v>
      </c>
      <c r="AR7" s="14">
        <f>J7</f>
        <v>0.21199999999999999</v>
      </c>
      <c r="AS7" s="14">
        <f>O7</f>
        <v>0.42499999999999999</v>
      </c>
      <c r="AT7" s="14">
        <f>T7</f>
        <v>0.63700000000000001</v>
      </c>
      <c r="AU7" s="14">
        <f>Y7</f>
        <v>0.85</v>
      </c>
    </row>
    <row r="8" spans="2:49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G8" s="13">
        <f>P8/O8</f>
        <v>11304</v>
      </c>
      <c r="AH8" s="13">
        <f>U8/T8</f>
        <v>10983.985765124555</v>
      </c>
      <c r="AI8" s="13"/>
      <c r="AJ8" s="13">
        <f>Z8/Y8</f>
        <v>10738.666666666666</v>
      </c>
      <c r="AK8" s="13"/>
      <c r="AM8" s="13">
        <f>K8</f>
        <v>2199</v>
      </c>
      <c r="AN8" s="13">
        <f>P8</f>
        <v>4239</v>
      </c>
      <c r="AO8" s="13">
        <f>U8</f>
        <v>6173</v>
      </c>
      <c r="AP8" s="13">
        <f>Z8</f>
        <v>8054</v>
      </c>
      <c r="AR8" s="14">
        <f>J8</f>
        <v>0.187</v>
      </c>
      <c r="AS8" s="14">
        <f>O8</f>
        <v>0.375</v>
      </c>
      <c r="AT8" s="14">
        <f>T8</f>
        <v>0.56200000000000006</v>
      </c>
      <c r="AU8" s="14">
        <f>Y8</f>
        <v>0.75</v>
      </c>
    </row>
    <row r="9" spans="2:49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  <c r="AH9" s="13"/>
    </row>
    <row r="10" spans="2:49" x14ac:dyDescent="0.25">
      <c r="N10" s="15" t="s">
        <v>71</v>
      </c>
      <c r="O10" s="16">
        <v>0.9</v>
      </c>
      <c r="Q10" s="47" t="s">
        <v>102</v>
      </c>
      <c r="R10" s="16">
        <v>36</v>
      </c>
    </row>
    <row r="11" spans="2:49" x14ac:dyDescent="0.25">
      <c r="V11" s="95" t="s">
        <v>147</v>
      </c>
      <c r="W11" s="95">
        <f>37-14</f>
        <v>23</v>
      </c>
      <c r="AI11" s="22"/>
      <c r="AJ11" s="22"/>
      <c r="AK11" s="22"/>
      <c r="AN11" s="20" t="s">
        <v>75</v>
      </c>
      <c r="AO11" s="18"/>
      <c r="AP11" s="18"/>
      <c r="AQ11" s="19"/>
      <c r="AS11" s="1" t="s">
        <v>76</v>
      </c>
    </row>
    <row r="12" spans="2:49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V12" t="s">
        <v>143</v>
      </c>
      <c r="AI12" s="1"/>
      <c r="AJ12" s="1"/>
      <c r="AK12" s="1"/>
      <c r="AN12" s="25" t="s">
        <v>79</v>
      </c>
      <c r="AO12" s="26" t="s">
        <v>80</v>
      </c>
      <c r="AP12" s="26"/>
      <c r="AQ12" s="27"/>
    </row>
    <row r="13" spans="2:49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V13" t="s">
        <v>144</v>
      </c>
      <c r="W13" t="s">
        <v>145</v>
      </c>
      <c r="X13" t="s">
        <v>146</v>
      </c>
      <c r="AG13" s="1"/>
      <c r="AH13" s="1"/>
      <c r="AI13" s="13"/>
      <c r="AJ13" s="13"/>
      <c r="AK13" s="13"/>
      <c r="AL13" s="13"/>
      <c r="AN13" s="33">
        <v>0</v>
      </c>
      <c r="AO13" s="34">
        <v>0</v>
      </c>
      <c r="AP13" s="31"/>
      <c r="AQ13" s="13"/>
      <c r="AS13">
        <v>-10</v>
      </c>
      <c r="AT13" s="13">
        <f>IF(AS13&lt;$C$13,0,(AS13-$C$13)*$C$14)</f>
        <v>0</v>
      </c>
      <c r="AV13" s="13"/>
      <c r="AW13" s="13"/>
    </row>
    <row r="14" spans="2:49" x14ac:dyDescent="0.25">
      <c r="B14" s="23" t="s">
        <v>84</v>
      </c>
      <c r="C14" s="60">
        <v>0</v>
      </c>
      <c r="D14" t="s">
        <v>85</v>
      </c>
      <c r="E14" t="s">
        <v>126</v>
      </c>
      <c r="L14" s="24"/>
      <c r="N14" s="29">
        <v>0</v>
      </c>
      <c r="O14" s="30">
        <v>0</v>
      </c>
      <c r="P14" s="31">
        <f t="shared" ref="P14:P64" si="9">N14*$O$10</f>
        <v>0</v>
      </c>
      <c r="Q14" s="13">
        <f t="shared" ref="Q14:Q64" si="10">O14/($O$10)</f>
        <v>0</v>
      </c>
      <c r="S14" s="32">
        <v>0</v>
      </c>
      <c r="T14" s="32">
        <v>0</v>
      </c>
      <c r="V14">
        <v>0</v>
      </c>
      <c r="W14">
        <f t="shared" ref="W14:W28" si="11">$W$11+V14</f>
        <v>23</v>
      </c>
      <c r="X14">
        <v>0</v>
      </c>
      <c r="Y14">
        <v>0</v>
      </c>
      <c r="Z14">
        <v>0</v>
      </c>
      <c r="AG14" s="13"/>
      <c r="AH14" s="13"/>
      <c r="AI14" s="13"/>
      <c r="AJ14" s="13"/>
      <c r="AK14" s="13"/>
      <c r="AL14" s="13"/>
      <c r="AN14" s="33">
        <v>1</v>
      </c>
      <c r="AO14" s="34">
        <v>0</v>
      </c>
      <c r="AP14" s="31"/>
      <c r="AQ14" s="13"/>
      <c r="AS14">
        <v>-9</v>
      </c>
      <c r="AT14" s="13">
        <f t="shared" ref="AT14:AT53" si="12">IF(AS14&lt;$C$13,0,(AS14-$C$13)*$C$14)</f>
        <v>0</v>
      </c>
      <c r="AV14" s="13"/>
      <c r="AW14" s="13"/>
    </row>
    <row r="15" spans="2:49" x14ac:dyDescent="0.25">
      <c r="B15" s="35"/>
      <c r="L15" s="24"/>
      <c r="N15" s="29">
        <v>1</v>
      </c>
      <c r="O15" s="30">
        <v>9.9714308599654729E-9</v>
      </c>
      <c r="P15" s="31">
        <f t="shared" si="9"/>
        <v>0.9</v>
      </c>
      <c r="Q15" s="13">
        <f t="shared" si="10"/>
        <v>1.1079367622183858E-8</v>
      </c>
      <c r="S15" s="32">
        <v>1</v>
      </c>
      <c r="T15" s="32">
        <v>0</v>
      </c>
      <c r="V15">
        <v>1</v>
      </c>
      <c r="W15">
        <f t="shared" si="11"/>
        <v>24</v>
      </c>
      <c r="X15">
        <v>10</v>
      </c>
      <c r="Y15">
        <f t="shared" ref="Y15:Y28" si="13">(X15*9.81*0.45)/V15</f>
        <v>44.145000000000003</v>
      </c>
      <c r="Z15" s="13">
        <f>(X15*9.81*0.45)</f>
        <v>44.145000000000003</v>
      </c>
      <c r="AG15" s="13"/>
      <c r="AH15" s="13"/>
      <c r="AI15" s="13"/>
      <c r="AJ15" s="13"/>
      <c r="AK15" s="13"/>
      <c r="AL15" s="13"/>
      <c r="AN15" s="33">
        <v>2</v>
      </c>
      <c r="AO15" s="34">
        <v>0</v>
      </c>
      <c r="AP15" s="31"/>
      <c r="AQ15" s="13"/>
      <c r="AS15">
        <v>-8</v>
      </c>
      <c r="AT15" s="13">
        <f t="shared" si="12"/>
        <v>0</v>
      </c>
      <c r="AV15" s="13"/>
      <c r="AW15" s="13"/>
    </row>
    <row r="16" spans="2:49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1.4806120528525812E-6</v>
      </c>
      <c r="P16" s="31">
        <f t="shared" si="9"/>
        <v>1.8</v>
      </c>
      <c r="Q16" s="13">
        <f t="shared" si="10"/>
        <v>1.6451245031695347E-6</v>
      </c>
      <c r="S16" s="32">
        <v>2</v>
      </c>
      <c r="T16" s="32">
        <v>0</v>
      </c>
      <c r="V16">
        <v>2</v>
      </c>
      <c r="W16">
        <f t="shared" si="11"/>
        <v>25</v>
      </c>
      <c r="X16">
        <v>40</v>
      </c>
      <c r="Y16">
        <f t="shared" si="13"/>
        <v>88.29</v>
      </c>
      <c r="Z16" s="13">
        <f t="shared" ref="Z16:Z28" si="14">(X16*9.81*0.45)</f>
        <v>176.58</v>
      </c>
      <c r="AG16" s="13"/>
      <c r="AH16" s="13"/>
      <c r="AI16" s="13"/>
      <c r="AJ16" s="13"/>
      <c r="AK16" s="13"/>
      <c r="AL16" s="13"/>
      <c r="AN16" s="33">
        <v>3</v>
      </c>
      <c r="AO16" s="34">
        <v>0</v>
      </c>
      <c r="AP16" s="31"/>
      <c r="AQ16" s="13"/>
      <c r="AS16">
        <v>-7</v>
      </c>
      <c r="AT16" s="13">
        <f t="shared" si="12"/>
        <v>0</v>
      </c>
      <c r="AV16" s="13"/>
      <c r="AW16" s="13"/>
    </row>
    <row r="17" spans="2:49" x14ac:dyDescent="0.25">
      <c r="B17" s="35">
        <v>0</v>
      </c>
      <c r="C17" t="s">
        <v>95</v>
      </c>
      <c r="G17" s="36">
        <v>25</v>
      </c>
      <c r="H17">
        <v>0</v>
      </c>
      <c r="I17">
        <v>0</v>
      </c>
      <c r="J17">
        <f>G17</f>
        <v>25</v>
      </c>
      <c r="K17">
        <v>0</v>
      </c>
      <c r="L17" s="24"/>
      <c r="N17" s="29">
        <v>3</v>
      </c>
      <c r="O17" s="30">
        <v>2.7592742353186277E-5</v>
      </c>
      <c r="P17" s="31">
        <f t="shared" si="9"/>
        <v>2.7</v>
      </c>
      <c r="Q17" s="13">
        <f t="shared" si="10"/>
        <v>3.065860261465142E-5</v>
      </c>
      <c r="S17" s="32">
        <v>3</v>
      </c>
      <c r="T17" s="32">
        <v>0</v>
      </c>
      <c r="V17">
        <v>3</v>
      </c>
      <c r="W17">
        <f t="shared" si="11"/>
        <v>26</v>
      </c>
      <c r="X17">
        <v>82</v>
      </c>
      <c r="Y17">
        <f t="shared" si="13"/>
        <v>120.66300000000001</v>
      </c>
      <c r="Z17" s="13">
        <f t="shared" si="14"/>
        <v>361.98900000000003</v>
      </c>
      <c r="AG17" s="13"/>
      <c r="AH17" s="13"/>
      <c r="AI17" s="13"/>
      <c r="AJ17" s="13"/>
      <c r="AK17" s="13"/>
      <c r="AL17" s="13"/>
      <c r="AN17" s="33">
        <v>4</v>
      </c>
      <c r="AO17" s="34">
        <v>0</v>
      </c>
      <c r="AP17" s="31"/>
      <c r="AQ17" s="13"/>
      <c r="AS17">
        <v>-6</v>
      </c>
      <c r="AT17" s="13">
        <f t="shared" si="12"/>
        <v>0</v>
      </c>
      <c r="AV17" s="13"/>
      <c r="AW17" s="13"/>
    </row>
    <row r="18" spans="2:49" x14ac:dyDescent="0.25">
      <c r="B18" s="35">
        <v>1</v>
      </c>
      <c r="C18" s="37" t="str">
        <f>B4</f>
        <v>18 0011</v>
      </c>
      <c r="D18" s="36">
        <v>12</v>
      </c>
      <c r="E18" s="36">
        <v>1</v>
      </c>
      <c r="F18" s="38">
        <v>0.45</v>
      </c>
      <c r="G18" s="14">
        <f>F18*D18</f>
        <v>5.4</v>
      </c>
      <c r="H18" s="39">
        <f>AG4*F18*E18</f>
        <v>1409</v>
      </c>
      <c r="I18" s="13">
        <f>H18/G18</f>
        <v>260.92592592592592</v>
      </c>
      <c r="J18" s="40">
        <f>G4*D18+((E18-1)*D18*E4)</f>
        <v>25.799999999999997</v>
      </c>
      <c r="K18" s="31">
        <f>J18-G18</f>
        <v>20.399999999999999</v>
      </c>
      <c r="L18" s="24"/>
      <c r="N18" s="29">
        <v>4</v>
      </c>
      <c r="O18" s="30">
        <v>2.1984929563658687E-4</v>
      </c>
      <c r="P18" s="31">
        <f t="shared" si="9"/>
        <v>3.6</v>
      </c>
      <c r="Q18" s="13">
        <f t="shared" si="10"/>
        <v>2.4427699515176316E-4</v>
      </c>
      <c r="S18" s="32">
        <v>4</v>
      </c>
      <c r="T18" s="32">
        <v>0</v>
      </c>
      <c r="V18">
        <v>4</v>
      </c>
      <c r="W18">
        <f t="shared" si="11"/>
        <v>27</v>
      </c>
      <c r="X18">
        <v>128</v>
      </c>
      <c r="Y18">
        <f t="shared" si="13"/>
        <v>141.26400000000001</v>
      </c>
      <c r="Z18" s="13">
        <f t="shared" si="14"/>
        <v>565.05600000000004</v>
      </c>
      <c r="AG18" s="13"/>
      <c r="AH18" s="13"/>
      <c r="AI18" s="13"/>
      <c r="AJ18" s="13"/>
      <c r="AK18" s="13"/>
      <c r="AL18" s="13"/>
      <c r="AN18" s="33">
        <v>5</v>
      </c>
      <c r="AO18" s="34">
        <v>0</v>
      </c>
      <c r="AP18" s="31"/>
      <c r="AQ18" s="13"/>
      <c r="AS18">
        <v>-5</v>
      </c>
      <c r="AT18" s="13">
        <f t="shared" si="12"/>
        <v>0</v>
      </c>
      <c r="AV18" s="13"/>
      <c r="AW18" s="13"/>
    </row>
    <row r="19" spans="2:49" x14ac:dyDescent="0.25">
      <c r="B19" s="35">
        <v>2</v>
      </c>
      <c r="C19" s="37" t="str">
        <f>B6</f>
        <v>18 0029</v>
      </c>
      <c r="D19" s="36">
        <v>22</v>
      </c>
      <c r="E19" s="36">
        <v>2</v>
      </c>
      <c r="F19" s="38">
        <v>0.55000000000000004</v>
      </c>
      <c r="G19" s="14">
        <f>F19*D19</f>
        <v>12.100000000000001</v>
      </c>
      <c r="H19" s="39">
        <f>AG6*F19*E19</f>
        <v>7326</v>
      </c>
      <c r="I19" s="13">
        <f>H19/G19</f>
        <v>605.45454545454538</v>
      </c>
      <c r="J19" s="40">
        <f>G6*D19+((E19-1)*D19*E6)</f>
        <v>112.2</v>
      </c>
      <c r="K19" s="31">
        <f>J19-G19</f>
        <v>100.1</v>
      </c>
      <c r="L19" s="24"/>
      <c r="N19" s="29">
        <v>5</v>
      </c>
      <c r="O19" s="30">
        <v>1.0996414615292525E-3</v>
      </c>
      <c r="P19" s="31">
        <f t="shared" si="9"/>
        <v>4.5</v>
      </c>
      <c r="Q19" s="13">
        <f t="shared" si="10"/>
        <v>1.2218238461436139E-3</v>
      </c>
      <c r="S19" s="32">
        <v>5</v>
      </c>
      <c r="T19" s="32">
        <v>0</v>
      </c>
      <c r="V19">
        <v>5</v>
      </c>
      <c r="W19">
        <f t="shared" si="11"/>
        <v>28</v>
      </c>
      <c r="X19">
        <v>175</v>
      </c>
      <c r="Y19">
        <f t="shared" si="13"/>
        <v>154.50749999999999</v>
      </c>
      <c r="Z19" s="13">
        <f t="shared" si="14"/>
        <v>772.53750000000002</v>
      </c>
      <c r="AG19" s="13"/>
      <c r="AH19" s="13"/>
      <c r="AI19" s="13"/>
      <c r="AJ19" s="13"/>
      <c r="AK19" s="13"/>
      <c r="AL19" s="13"/>
      <c r="AN19" s="33">
        <v>6</v>
      </c>
      <c r="AO19" s="34">
        <v>0</v>
      </c>
      <c r="AP19" s="31"/>
      <c r="AQ19" s="13"/>
      <c r="AS19">
        <v>-4</v>
      </c>
      <c r="AT19" s="13">
        <f t="shared" si="12"/>
        <v>0</v>
      </c>
      <c r="AV19" s="13"/>
      <c r="AW19" s="13"/>
    </row>
    <row r="20" spans="2:49" x14ac:dyDescent="0.25">
      <c r="B20" s="35"/>
      <c r="L20" s="24"/>
      <c r="N20" s="29">
        <v>6</v>
      </c>
      <c r="O20" s="30">
        <v>4.0971198088942022E-3</v>
      </c>
      <c r="P20" s="31">
        <f t="shared" si="9"/>
        <v>5.4</v>
      </c>
      <c r="Q20" s="13">
        <f t="shared" si="10"/>
        <v>4.5523553432157806E-3</v>
      </c>
      <c r="S20" s="32">
        <v>6</v>
      </c>
      <c r="T20" s="32">
        <v>0</v>
      </c>
      <c r="V20">
        <v>6</v>
      </c>
      <c r="W20">
        <f t="shared" si="11"/>
        <v>29</v>
      </c>
      <c r="X20">
        <v>220</v>
      </c>
      <c r="Y20">
        <f t="shared" si="13"/>
        <v>161.86500000000004</v>
      </c>
      <c r="Z20" s="13">
        <f t="shared" si="14"/>
        <v>971.19000000000017</v>
      </c>
      <c r="AG20" s="13"/>
      <c r="AH20" s="13"/>
      <c r="AI20" s="13"/>
      <c r="AJ20" s="13"/>
      <c r="AK20" s="13"/>
      <c r="AL20" s="13"/>
      <c r="AN20" s="33">
        <v>7</v>
      </c>
      <c r="AO20" s="34">
        <v>0</v>
      </c>
      <c r="AP20" s="31"/>
      <c r="AQ20" s="13"/>
      <c r="AS20">
        <v>-3</v>
      </c>
      <c r="AT20" s="13">
        <f t="shared" si="12"/>
        <v>0</v>
      </c>
      <c r="AV20" s="13"/>
      <c r="AW20" s="13"/>
    </row>
    <row r="21" spans="2:49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163</v>
      </c>
      <c r="K21" s="43">
        <f>SUM(K17:K19)</f>
        <v>120.5</v>
      </c>
      <c r="L21" s="24"/>
      <c r="N21" s="29">
        <v>7</v>
      </c>
      <c r="O21" s="30">
        <v>1.2457895458061608E-2</v>
      </c>
      <c r="P21" s="31">
        <f t="shared" si="9"/>
        <v>6.3</v>
      </c>
      <c r="Q21" s="13">
        <f t="shared" si="10"/>
        <v>1.3842106064512897E-2</v>
      </c>
      <c r="S21" s="32">
        <v>7</v>
      </c>
      <c r="T21" s="32">
        <v>0</v>
      </c>
      <c r="V21">
        <v>7</v>
      </c>
      <c r="W21">
        <f t="shared" si="11"/>
        <v>30</v>
      </c>
      <c r="X21">
        <v>265</v>
      </c>
      <c r="Y21">
        <f t="shared" si="13"/>
        <v>167.12035714285713</v>
      </c>
      <c r="Z21" s="13">
        <f t="shared" si="14"/>
        <v>1169.8425</v>
      </c>
      <c r="AG21" s="13"/>
      <c r="AH21" s="13"/>
      <c r="AI21" s="13"/>
      <c r="AJ21" s="13"/>
      <c r="AK21" s="13"/>
      <c r="AL21" s="13"/>
      <c r="AN21" s="33">
        <v>8</v>
      </c>
      <c r="AO21" s="34">
        <v>0</v>
      </c>
      <c r="AP21" s="31"/>
      <c r="AQ21" s="13"/>
      <c r="AS21">
        <v>-2</v>
      </c>
      <c r="AT21" s="13">
        <f t="shared" si="12"/>
        <v>0</v>
      </c>
      <c r="AV21" s="13"/>
      <c r="AW21" s="13"/>
    </row>
    <row r="22" spans="2:49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3.2644413976492065E-2</v>
      </c>
      <c r="P22" s="31">
        <f t="shared" si="9"/>
        <v>7.2</v>
      </c>
      <c r="Q22" s="13">
        <f t="shared" si="10"/>
        <v>3.6271571084991183E-2</v>
      </c>
      <c r="S22" s="32">
        <v>8</v>
      </c>
      <c r="T22" s="32">
        <v>0</v>
      </c>
      <c r="V22">
        <v>8</v>
      </c>
      <c r="W22">
        <f t="shared" si="11"/>
        <v>31</v>
      </c>
      <c r="X22">
        <v>305</v>
      </c>
      <c r="Y22">
        <f t="shared" si="13"/>
        <v>168.30281250000002</v>
      </c>
      <c r="Z22" s="13">
        <f t="shared" si="14"/>
        <v>1346.4225000000001</v>
      </c>
      <c r="AG22" s="13"/>
      <c r="AH22" s="13"/>
      <c r="AI22" s="13"/>
      <c r="AJ22" s="13"/>
      <c r="AK22" s="13"/>
      <c r="AL22" s="13"/>
      <c r="AN22" s="33">
        <v>9</v>
      </c>
      <c r="AO22" s="34">
        <v>0</v>
      </c>
      <c r="AP22" s="31"/>
      <c r="AQ22" s="13"/>
      <c r="AS22">
        <v>-1</v>
      </c>
      <c r="AT22" s="13">
        <f t="shared" si="12"/>
        <v>0</v>
      </c>
      <c r="AV22" s="13"/>
      <c r="AW22" s="13"/>
    </row>
    <row r="23" spans="2:49" x14ac:dyDescent="0.25">
      <c r="B23" s="35" t="s">
        <v>101</v>
      </c>
      <c r="C23">
        <v>0</v>
      </c>
      <c r="F23">
        <f>G17</f>
        <v>25</v>
      </c>
      <c r="G23" s="13">
        <f>C23+(F23-$C$13)*($C$14)</f>
        <v>0</v>
      </c>
      <c r="H23" s="50" t="s">
        <v>104</v>
      </c>
      <c r="J23" s="31"/>
      <c r="L23" s="24"/>
      <c r="N23" s="29">
        <v>9</v>
      </c>
      <c r="O23" s="30">
        <v>7.6354080097583502E-2</v>
      </c>
      <c r="P23" s="31">
        <f t="shared" si="9"/>
        <v>8.1</v>
      </c>
      <c r="Q23" s="13">
        <f t="shared" si="10"/>
        <v>8.483786677509278E-2</v>
      </c>
      <c r="S23" s="32">
        <v>9</v>
      </c>
      <c r="T23" s="32">
        <v>0</v>
      </c>
      <c r="V23">
        <v>9</v>
      </c>
      <c r="W23">
        <f t="shared" si="11"/>
        <v>32</v>
      </c>
      <c r="X23">
        <v>348</v>
      </c>
      <c r="Y23">
        <f t="shared" si="13"/>
        <v>170.69400000000002</v>
      </c>
      <c r="Z23" s="13">
        <f t="shared" si="14"/>
        <v>1536.2460000000001</v>
      </c>
      <c r="AG23" s="13"/>
      <c r="AH23" s="13"/>
      <c r="AI23" s="13"/>
      <c r="AJ23" s="13"/>
      <c r="AK23" s="13"/>
      <c r="AL23" s="13"/>
      <c r="AN23" s="33">
        <v>10</v>
      </c>
      <c r="AO23" s="34">
        <v>0</v>
      </c>
      <c r="AP23" s="31"/>
      <c r="AQ23" s="13"/>
      <c r="AS23">
        <v>0</v>
      </c>
      <c r="AT23" s="13">
        <f t="shared" si="12"/>
        <v>0</v>
      </c>
      <c r="AV23" s="13"/>
      <c r="AW23" s="13"/>
    </row>
    <row r="24" spans="2:49" x14ac:dyDescent="0.25">
      <c r="B24" s="35">
        <v>1</v>
      </c>
      <c r="C24" s="13">
        <f>H18</f>
        <v>1409</v>
      </c>
      <c r="D24" s="13">
        <f>I18*I19/(I18+I19)</f>
        <v>182.34343120300022</v>
      </c>
      <c r="E24" s="31">
        <f>C24/D24</f>
        <v>7.7271771771771771</v>
      </c>
      <c r="F24" s="31">
        <f>F23+E24</f>
        <v>32.727177177177175</v>
      </c>
      <c r="G24" s="13">
        <f>C24+(F24-$C$13)*($C$14)</f>
        <v>1409</v>
      </c>
      <c r="H24" s="51" t="s">
        <v>105</v>
      </c>
      <c r="L24" s="24"/>
      <c r="N24" s="29">
        <v>10</v>
      </c>
      <c r="O24" s="30">
        <v>0.1632807191486941</v>
      </c>
      <c r="P24" s="31">
        <f t="shared" si="9"/>
        <v>9</v>
      </c>
      <c r="Q24" s="13">
        <f t="shared" si="10"/>
        <v>0.18142302127632678</v>
      </c>
      <c r="S24" s="32">
        <v>10</v>
      </c>
      <c r="T24" s="32">
        <v>0</v>
      </c>
      <c r="V24">
        <v>10</v>
      </c>
      <c r="W24">
        <f t="shared" si="11"/>
        <v>33</v>
      </c>
      <c r="X24">
        <v>400</v>
      </c>
      <c r="Y24">
        <f t="shared" si="13"/>
        <v>176.57999999999998</v>
      </c>
      <c r="Z24" s="13">
        <f t="shared" si="14"/>
        <v>1765.8</v>
      </c>
      <c r="AG24" s="13"/>
      <c r="AH24" s="13"/>
      <c r="AI24" s="13"/>
      <c r="AJ24" s="13"/>
      <c r="AK24" s="13"/>
      <c r="AL24" s="13"/>
      <c r="AN24" s="33">
        <v>11</v>
      </c>
      <c r="AO24" s="34">
        <v>0</v>
      </c>
      <c r="AP24" s="31"/>
      <c r="AQ24" s="13"/>
      <c r="AS24">
        <v>1</v>
      </c>
      <c r="AT24" s="13">
        <f t="shared" si="12"/>
        <v>0</v>
      </c>
      <c r="AV24" s="13"/>
      <c r="AW24" s="13"/>
    </row>
    <row r="25" spans="2:49" x14ac:dyDescent="0.25">
      <c r="B25" s="35">
        <v>2</v>
      </c>
      <c r="C25" s="13">
        <f>H19</f>
        <v>7326</v>
      </c>
      <c r="D25" s="13">
        <f>I19</f>
        <v>605.45454545454538</v>
      </c>
      <c r="E25" s="31">
        <f>(C25-C24)/D25</f>
        <v>9.7728228228228247</v>
      </c>
      <c r="F25" s="31">
        <f>F24+E25</f>
        <v>42.5</v>
      </c>
      <c r="G25" s="13">
        <f>C25+(F25-$C$13)*($C$14)</f>
        <v>7326</v>
      </c>
      <c r="H25" s="51" t="s">
        <v>106</v>
      </c>
      <c r="L25" s="24"/>
      <c r="N25" s="29">
        <v>11</v>
      </c>
      <c r="O25" s="30">
        <v>0.32474993978578193</v>
      </c>
      <c r="P25" s="31">
        <f t="shared" si="9"/>
        <v>9.9</v>
      </c>
      <c r="Q25" s="13">
        <f t="shared" si="10"/>
        <v>0.3608332664286466</v>
      </c>
      <c r="S25" s="32">
        <v>11</v>
      </c>
      <c r="T25" s="32">
        <v>0</v>
      </c>
      <c r="V25">
        <v>11</v>
      </c>
      <c r="W25">
        <f t="shared" si="11"/>
        <v>34</v>
      </c>
      <c r="X25">
        <v>515</v>
      </c>
      <c r="Y25">
        <f t="shared" si="13"/>
        <v>206.67886363636364</v>
      </c>
      <c r="Z25" s="13">
        <f t="shared" si="14"/>
        <v>2273.4675000000002</v>
      </c>
      <c r="AG25" s="13"/>
      <c r="AH25" s="13"/>
      <c r="AI25" s="13"/>
      <c r="AJ25" s="13"/>
      <c r="AK25" s="13"/>
      <c r="AL25" s="13"/>
      <c r="AN25" s="33">
        <v>12</v>
      </c>
      <c r="AO25" s="34">
        <v>0</v>
      </c>
      <c r="AP25" s="31"/>
      <c r="AQ25" s="13"/>
      <c r="AS25">
        <v>2</v>
      </c>
      <c r="AT25" s="13">
        <f t="shared" si="12"/>
        <v>0</v>
      </c>
      <c r="AV25" s="13"/>
      <c r="AW25" s="13"/>
    </row>
    <row r="26" spans="2:49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0.60836253655283645</v>
      </c>
      <c r="P26" s="31">
        <f t="shared" si="9"/>
        <v>10.8</v>
      </c>
      <c r="Q26" s="13">
        <f t="shared" si="10"/>
        <v>0.67595837394759606</v>
      </c>
      <c r="S26" s="32">
        <v>12</v>
      </c>
      <c r="T26" s="32">
        <v>0</v>
      </c>
      <c r="V26">
        <v>12</v>
      </c>
      <c r="W26">
        <f t="shared" si="11"/>
        <v>35</v>
      </c>
      <c r="X26">
        <v>655</v>
      </c>
      <c r="Y26">
        <f t="shared" si="13"/>
        <v>240.958125</v>
      </c>
      <c r="Z26" s="13">
        <f t="shared" si="14"/>
        <v>2891.4974999999999</v>
      </c>
      <c r="AG26" s="13"/>
      <c r="AH26" s="13"/>
      <c r="AI26" s="13"/>
      <c r="AJ26" s="13"/>
      <c r="AK26" s="13"/>
      <c r="AL26" s="13"/>
      <c r="AN26" s="33">
        <v>13</v>
      </c>
      <c r="AO26" s="34">
        <v>0</v>
      </c>
      <c r="AP26" s="31"/>
      <c r="AQ26" s="13"/>
      <c r="AS26">
        <v>3</v>
      </c>
      <c r="AT26" s="13">
        <f t="shared" si="12"/>
        <v>0</v>
      </c>
      <c r="AV26" s="13"/>
      <c r="AW26" s="13"/>
    </row>
    <row r="27" spans="2:49" x14ac:dyDescent="0.25">
      <c r="N27" s="29">
        <v>13</v>
      </c>
      <c r="O27" s="30">
        <v>1.0837833235552281</v>
      </c>
      <c r="P27" s="31">
        <f t="shared" si="9"/>
        <v>11.700000000000001</v>
      </c>
      <c r="Q27" s="13">
        <f t="shared" si="10"/>
        <v>1.2042036928391424</v>
      </c>
      <c r="S27" s="32">
        <v>13</v>
      </c>
      <c r="T27" s="32">
        <v>0</v>
      </c>
      <c r="V27">
        <v>13</v>
      </c>
      <c r="W27">
        <f t="shared" si="11"/>
        <v>36</v>
      </c>
      <c r="X27">
        <v>798</v>
      </c>
      <c r="Y27">
        <f t="shared" si="13"/>
        <v>270.9823846153846</v>
      </c>
      <c r="Z27" s="13">
        <f t="shared" si="14"/>
        <v>3522.7710000000002</v>
      </c>
      <c r="AG27" s="13"/>
      <c r="AH27" s="13"/>
      <c r="AI27" s="13"/>
      <c r="AJ27" s="13"/>
      <c r="AK27" s="13"/>
      <c r="AL27" s="13"/>
      <c r="AN27" s="33">
        <v>14</v>
      </c>
      <c r="AO27" s="34">
        <v>0</v>
      </c>
      <c r="AP27" s="31"/>
      <c r="AQ27" s="13"/>
      <c r="AS27">
        <v>4</v>
      </c>
      <c r="AT27" s="13">
        <f t="shared" si="12"/>
        <v>0</v>
      </c>
      <c r="AV27" s="13"/>
      <c r="AW27" s="13"/>
    </row>
    <row r="28" spans="2:49" x14ac:dyDescent="0.25">
      <c r="B28" s="17" t="s">
        <v>72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1.8498157814481702</v>
      </c>
      <c r="P28" s="31">
        <f t="shared" si="9"/>
        <v>12.6</v>
      </c>
      <c r="Q28" s="13">
        <f t="shared" si="10"/>
        <v>2.0553508682757444</v>
      </c>
      <c r="S28" s="32">
        <v>14</v>
      </c>
      <c r="T28" s="32">
        <v>0</v>
      </c>
      <c r="V28">
        <v>14</v>
      </c>
      <c r="W28">
        <f t="shared" si="11"/>
        <v>37</v>
      </c>
      <c r="X28">
        <v>950</v>
      </c>
      <c r="Y28">
        <f t="shared" si="13"/>
        <v>299.55535714285719</v>
      </c>
      <c r="Z28" s="13">
        <f t="shared" si="14"/>
        <v>4193.7750000000005</v>
      </c>
      <c r="AG28" s="13"/>
      <c r="AH28" s="13"/>
      <c r="AI28" s="13"/>
      <c r="AJ28" s="13"/>
      <c r="AK28" s="13"/>
      <c r="AL28" s="13"/>
      <c r="AN28" s="33">
        <v>15</v>
      </c>
      <c r="AO28" s="34">
        <v>0</v>
      </c>
      <c r="AP28" s="31"/>
      <c r="AQ28" s="13"/>
      <c r="AS28">
        <v>5</v>
      </c>
      <c r="AT28" s="13">
        <f t="shared" si="12"/>
        <v>0</v>
      </c>
      <c r="AV28" s="13"/>
      <c r="AW28" s="13"/>
    </row>
    <row r="29" spans="2:49" x14ac:dyDescent="0.25">
      <c r="B29" s="23" t="s">
        <v>77</v>
      </c>
      <c r="C29">
        <v>4</v>
      </c>
      <c r="D29" t="s">
        <v>78</v>
      </c>
      <c r="L29" s="24"/>
      <c r="N29" s="29">
        <v>15</v>
      </c>
      <c r="O29" s="30">
        <v>3.0429056727133443</v>
      </c>
      <c r="P29" s="31">
        <f t="shared" si="9"/>
        <v>13.5</v>
      </c>
      <c r="Q29" s="13">
        <f t="shared" si="10"/>
        <v>3.3810063030148267</v>
      </c>
      <c r="S29" s="32">
        <v>15</v>
      </c>
      <c r="T29" s="32">
        <v>0</v>
      </c>
      <c r="AG29" s="13"/>
      <c r="AH29" s="13"/>
      <c r="AI29" s="13"/>
      <c r="AJ29" s="13"/>
      <c r="AK29" s="13"/>
      <c r="AL29" s="13"/>
      <c r="AN29" s="33">
        <v>16</v>
      </c>
      <c r="AO29" s="34">
        <v>0</v>
      </c>
      <c r="AP29" s="31"/>
      <c r="AQ29" s="13"/>
      <c r="AS29">
        <v>6</v>
      </c>
      <c r="AT29" s="13">
        <f t="shared" si="12"/>
        <v>0</v>
      </c>
      <c r="AV29" s="13"/>
      <c r="AW29" s="13"/>
    </row>
    <row r="30" spans="2:49" x14ac:dyDescent="0.25">
      <c r="B30" s="23" t="s">
        <v>84</v>
      </c>
      <c r="C30" s="60">
        <v>0</v>
      </c>
      <c r="D30" t="s">
        <v>85</v>
      </c>
      <c r="E30" t="s">
        <v>126</v>
      </c>
      <c r="L30" s="24"/>
      <c r="N30" s="29">
        <v>16</v>
      </c>
      <c r="O30" s="30">
        <v>4.8472193680808138</v>
      </c>
      <c r="P30" s="31">
        <f t="shared" si="9"/>
        <v>14.4</v>
      </c>
      <c r="Q30" s="13">
        <f t="shared" si="10"/>
        <v>5.3857992978675711</v>
      </c>
      <c r="S30" s="32">
        <v>16</v>
      </c>
      <c r="T30" s="32">
        <v>0</v>
      </c>
      <c r="AG30" s="13"/>
      <c r="AH30" s="13"/>
      <c r="AI30" s="13"/>
      <c r="AJ30" s="13"/>
      <c r="AK30" s="13"/>
      <c r="AL30" s="13"/>
      <c r="AN30" s="33">
        <v>17</v>
      </c>
      <c r="AO30" s="34">
        <v>0</v>
      </c>
      <c r="AP30" s="31"/>
      <c r="AQ30" s="13"/>
      <c r="AS30">
        <v>7</v>
      </c>
      <c r="AT30" s="13">
        <f t="shared" si="12"/>
        <v>0</v>
      </c>
      <c r="AV30" s="13"/>
      <c r="AW30" s="13"/>
    </row>
    <row r="31" spans="2:49" x14ac:dyDescent="0.25">
      <c r="B31" s="35"/>
      <c r="L31" s="24"/>
      <c r="N31" s="29">
        <v>17</v>
      </c>
      <c r="O31" s="30">
        <v>7.5064450558853597</v>
      </c>
      <c r="P31" s="31">
        <f t="shared" si="9"/>
        <v>15.3</v>
      </c>
      <c r="Q31" s="13">
        <f t="shared" si="10"/>
        <v>8.3404945065392884</v>
      </c>
      <c r="S31" s="32">
        <v>17</v>
      </c>
      <c r="T31" s="32">
        <v>0</v>
      </c>
      <c r="AG31" s="13"/>
      <c r="AH31" s="13"/>
      <c r="AI31" s="13"/>
      <c r="AJ31" s="13"/>
      <c r="AK31" s="13"/>
      <c r="AL31" s="13"/>
      <c r="AN31" s="33">
        <v>18</v>
      </c>
      <c r="AO31" s="34">
        <v>0</v>
      </c>
      <c r="AP31" s="31"/>
      <c r="AQ31" s="13"/>
      <c r="AS31">
        <v>8</v>
      </c>
      <c r="AT31" s="13">
        <f t="shared" si="12"/>
        <v>0</v>
      </c>
      <c r="AV31" s="13"/>
      <c r="AW31" s="13"/>
    </row>
    <row r="32" spans="2:49" x14ac:dyDescent="0.25">
      <c r="B32" s="23" t="s">
        <v>86</v>
      </c>
      <c r="C32" s="1" t="s">
        <v>87</v>
      </c>
      <c r="D32" s="1" t="s">
        <v>88</v>
      </c>
      <c r="E32" s="1" t="s">
        <v>89</v>
      </c>
      <c r="F32" s="1" t="s">
        <v>90</v>
      </c>
      <c r="G32" s="1" t="s">
        <v>91</v>
      </c>
      <c r="H32" s="1" t="s">
        <v>92</v>
      </c>
      <c r="I32" s="1" t="s">
        <v>93</v>
      </c>
      <c r="J32" s="1" t="s">
        <v>74</v>
      </c>
      <c r="K32" s="1" t="s">
        <v>94</v>
      </c>
      <c r="L32" s="24"/>
      <c r="N32" s="29">
        <v>18</v>
      </c>
      <c r="O32" s="30">
        <v>11.337467296779179</v>
      </c>
      <c r="P32" s="31">
        <f t="shared" si="9"/>
        <v>16.2</v>
      </c>
      <c r="Q32" s="13">
        <f t="shared" si="10"/>
        <v>12.597185885310198</v>
      </c>
      <c r="S32" s="32">
        <v>18</v>
      </c>
      <c r="T32" s="32">
        <v>0</v>
      </c>
      <c r="AG32" s="13"/>
      <c r="AH32" s="13"/>
      <c r="AI32" s="13"/>
      <c r="AJ32" s="13"/>
      <c r="AK32" s="13"/>
      <c r="AL32" s="13"/>
      <c r="AN32" s="33">
        <v>19</v>
      </c>
      <c r="AO32" s="34">
        <v>0</v>
      </c>
      <c r="AP32" s="31"/>
      <c r="AQ32" s="13"/>
      <c r="AS32">
        <v>9</v>
      </c>
      <c r="AT32" s="13">
        <f t="shared" si="12"/>
        <v>0</v>
      </c>
      <c r="AV32" s="13"/>
      <c r="AW32" s="13"/>
    </row>
    <row r="33" spans="2:49" x14ac:dyDescent="0.25">
      <c r="B33" s="35">
        <v>0</v>
      </c>
      <c r="C33" t="s">
        <v>95</v>
      </c>
      <c r="G33" s="36">
        <v>25</v>
      </c>
      <c r="H33">
        <v>0</v>
      </c>
      <c r="I33">
        <v>0</v>
      </c>
      <c r="J33">
        <f>G33</f>
        <v>25</v>
      </c>
      <c r="K33">
        <v>0</v>
      </c>
      <c r="L33" s="24"/>
      <c r="N33" s="29">
        <v>19</v>
      </c>
      <c r="O33" s="30">
        <v>16.746067555297913</v>
      </c>
      <c r="P33" s="31">
        <f t="shared" si="9"/>
        <v>17.100000000000001</v>
      </c>
      <c r="Q33" s="13">
        <f t="shared" si="10"/>
        <v>18.606741728108791</v>
      </c>
      <c r="S33" s="32">
        <v>19</v>
      </c>
      <c r="T33" s="32">
        <v>0</v>
      </c>
      <c r="AG33" s="13"/>
      <c r="AH33" s="13"/>
      <c r="AI33" s="13"/>
      <c r="AJ33" s="13"/>
      <c r="AK33" s="13"/>
      <c r="AL33" s="13"/>
      <c r="AN33" s="33">
        <v>20</v>
      </c>
      <c r="AO33" s="34">
        <v>0</v>
      </c>
      <c r="AP33" s="31"/>
      <c r="AQ33" s="13"/>
      <c r="AS33">
        <v>10</v>
      </c>
      <c r="AT33" s="13">
        <f t="shared" si="12"/>
        <v>0</v>
      </c>
      <c r="AV33" s="13"/>
      <c r="AW33" s="13"/>
    </row>
    <row r="34" spans="2:49" x14ac:dyDescent="0.25">
      <c r="B34" s="35">
        <v>1</v>
      </c>
      <c r="C34" s="37" t="str">
        <f>B4</f>
        <v>18 0011</v>
      </c>
      <c r="D34" s="36">
        <v>12</v>
      </c>
      <c r="E34" s="36">
        <v>1</v>
      </c>
      <c r="F34" s="38">
        <v>0.45</v>
      </c>
      <c r="G34" s="14">
        <f>F34*D34</f>
        <v>5.4</v>
      </c>
      <c r="H34" s="39">
        <f>AG4*F34*E34</f>
        <v>1409</v>
      </c>
      <c r="I34" s="13">
        <f>H34/G34</f>
        <v>260.92592592592592</v>
      </c>
      <c r="J34" s="40">
        <f>G4*D34+((E34-1)*D34*E4)</f>
        <v>25.799999999999997</v>
      </c>
      <c r="K34" s="31">
        <f>J34-G34</f>
        <v>20.399999999999999</v>
      </c>
      <c r="L34" s="24"/>
      <c r="N34" s="29">
        <v>20</v>
      </c>
      <c r="O34" s="30">
        <v>24.244805401060546</v>
      </c>
      <c r="P34" s="31">
        <f t="shared" si="9"/>
        <v>18</v>
      </c>
      <c r="Q34" s="13">
        <f t="shared" si="10"/>
        <v>26.938672667845051</v>
      </c>
      <c r="S34" s="32">
        <v>20</v>
      </c>
      <c r="T34" s="32">
        <v>0</v>
      </c>
      <c r="AG34" s="13"/>
      <c r="AH34" s="13"/>
      <c r="AI34" s="13"/>
      <c r="AJ34" s="13"/>
      <c r="AK34" s="13"/>
      <c r="AL34" s="13"/>
      <c r="AN34" s="33">
        <v>21</v>
      </c>
      <c r="AO34" s="34">
        <v>0</v>
      </c>
      <c r="AP34" s="31"/>
      <c r="AQ34" s="13"/>
      <c r="AS34">
        <v>11</v>
      </c>
      <c r="AT34" s="13">
        <f t="shared" si="12"/>
        <v>0</v>
      </c>
      <c r="AV34" s="13"/>
      <c r="AW34" s="13"/>
    </row>
    <row r="35" spans="2:49" x14ac:dyDescent="0.25">
      <c r="B35" s="35">
        <v>2</v>
      </c>
      <c r="C35" s="37" t="str">
        <f>B6</f>
        <v>18 0029</v>
      </c>
      <c r="D35" s="36">
        <v>11</v>
      </c>
      <c r="E35" s="36">
        <v>2</v>
      </c>
      <c r="F35" s="38">
        <v>0.27500000000000002</v>
      </c>
      <c r="G35" s="14">
        <f>F35*D35</f>
        <v>3.0250000000000004</v>
      </c>
      <c r="H35" s="39">
        <f>AE6*F35*E35</f>
        <v>3944</v>
      </c>
      <c r="I35" s="13">
        <f>H35/G35</f>
        <v>1303.8016528925618</v>
      </c>
      <c r="J35" s="40">
        <f>G6*D35+((E35-1)*D35*E6)</f>
        <v>56.1</v>
      </c>
      <c r="K35" s="31">
        <f>J35-G35</f>
        <v>53.075000000000003</v>
      </c>
      <c r="L35" s="24"/>
      <c r="N35" s="29">
        <v>21</v>
      </c>
      <c r="O35" s="30">
        <v>34.473237037358686</v>
      </c>
      <c r="P35" s="31">
        <f t="shared" si="9"/>
        <v>18.900000000000002</v>
      </c>
      <c r="Q35" s="13">
        <f t="shared" si="10"/>
        <v>38.303596708176315</v>
      </c>
      <c r="S35" s="32">
        <v>21</v>
      </c>
      <c r="T35" s="32">
        <v>0</v>
      </c>
      <c r="AG35" s="13"/>
      <c r="AH35" s="13"/>
      <c r="AI35" s="13"/>
      <c r="AJ35" s="13"/>
      <c r="AK35" s="13"/>
      <c r="AL35" s="13"/>
      <c r="AN35" s="33">
        <v>22</v>
      </c>
      <c r="AO35" s="34">
        <v>0</v>
      </c>
      <c r="AP35" s="31"/>
      <c r="AQ35" s="13"/>
      <c r="AS35">
        <v>12</v>
      </c>
      <c r="AT35" s="13">
        <f t="shared" si="12"/>
        <v>0</v>
      </c>
      <c r="AV35" s="13"/>
      <c r="AW35" s="13"/>
    </row>
    <row r="36" spans="2:49" x14ac:dyDescent="0.25">
      <c r="B36" s="35">
        <v>2</v>
      </c>
      <c r="C36" s="37" t="str">
        <f>B6</f>
        <v>18 0029</v>
      </c>
      <c r="D36" s="36">
        <v>11</v>
      </c>
      <c r="E36" s="36">
        <v>2</v>
      </c>
      <c r="F36" s="38">
        <v>0.55000000000000004</v>
      </c>
      <c r="G36" s="14">
        <f>F36*D36</f>
        <v>6.0500000000000007</v>
      </c>
      <c r="H36" s="39">
        <f>AG6*F36*E36</f>
        <v>7326</v>
      </c>
      <c r="I36" s="13">
        <f>H36/G36</f>
        <v>1210.9090909090908</v>
      </c>
      <c r="J36" s="40">
        <f>G6*D36+((E36-1)*D36*E6)</f>
        <v>56.1</v>
      </c>
      <c r="K36" s="31">
        <f>J36-G36</f>
        <v>50.05</v>
      </c>
      <c r="L36" s="24"/>
      <c r="N36" s="29">
        <v>22</v>
      </c>
      <c r="O36" s="30">
        <v>48.220629693223714</v>
      </c>
      <c r="P36" s="31">
        <f t="shared" si="9"/>
        <v>19.8</v>
      </c>
      <c r="Q36" s="13">
        <f t="shared" si="10"/>
        <v>53.578477436915236</v>
      </c>
      <c r="S36" s="32">
        <v>22</v>
      </c>
      <c r="T36" s="32">
        <v>0</v>
      </c>
      <c r="AG36" s="13"/>
      <c r="AH36" s="13"/>
      <c r="AI36" s="13"/>
      <c r="AJ36" s="13"/>
      <c r="AK36" s="13"/>
      <c r="AL36" s="13"/>
      <c r="AN36" s="33">
        <v>23</v>
      </c>
      <c r="AO36" s="34">
        <v>0</v>
      </c>
      <c r="AP36" s="31"/>
      <c r="AQ36" s="13"/>
      <c r="AS36">
        <v>13</v>
      </c>
      <c r="AT36" s="13">
        <f t="shared" si="12"/>
        <v>0</v>
      </c>
      <c r="AV36" s="13"/>
      <c r="AW36" s="13"/>
    </row>
    <row r="37" spans="2:49" x14ac:dyDescent="0.25">
      <c r="B37" s="35"/>
      <c r="L37" s="24"/>
      <c r="N37" s="29">
        <v>23</v>
      </c>
      <c r="O37" s="30">
        <v>66.451332214994409</v>
      </c>
      <c r="P37" s="31">
        <f t="shared" si="9"/>
        <v>20.7</v>
      </c>
      <c r="Q37" s="13">
        <f t="shared" si="10"/>
        <v>73.834813572216007</v>
      </c>
      <c r="S37" s="32">
        <v>23</v>
      </c>
      <c r="T37" s="32">
        <v>0</v>
      </c>
      <c r="U37">
        <v>0</v>
      </c>
      <c r="AG37" s="13"/>
      <c r="AH37" s="13"/>
      <c r="AI37" s="13"/>
      <c r="AJ37" s="13"/>
      <c r="AK37" s="13"/>
      <c r="AL37" s="13"/>
      <c r="AN37" s="33">
        <v>24</v>
      </c>
      <c r="AO37" s="34">
        <v>0</v>
      </c>
      <c r="AP37" s="31"/>
      <c r="AQ37" s="13"/>
      <c r="AS37">
        <v>14</v>
      </c>
      <c r="AT37" s="13">
        <f t="shared" si="12"/>
        <v>0</v>
      </c>
      <c r="AV37" s="13"/>
      <c r="AW37" s="13"/>
    </row>
    <row r="38" spans="2:49" x14ac:dyDescent="0.25">
      <c r="B38" s="23" t="s">
        <v>96</v>
      </c>
      <c r="C38" s="1" t="s">
        <v>92</v>
      </c>
      <c r="D38" s="1" t="s">
        <v>97</v>
      </c>
      <c r="E38" s="1" t="s">
        <v>98</v>
      </c>
      <c r="F38" s="1" t="s">
        <v>79</v>
      </c>
      <c r="G38" s="1" t="s">
        <v>99</v>
      </c>
      <c r="I38" s="41" t="s">
        <v>100</v>
      </c>
      <c r="J38" s="42">
        <f>SUM(J33:J36)</f>
        <v>163</v>
      </c>
      <c r="K38" s="43">
        <f>SUM(K33:K35)</f>
        <v>73.474999999999994</v>
      </c>
      <c r="L38" s="24"/>
      <c r="N38" s="29">
        <v>24</v>
      </c>
      <c r="O38" s="30">
        <v>90.33296392201197</v>
      </c>
      <c r="P38" s="31">
        <f t="shared" si="9"/>
        <v>21.6</v>
      </c>
      <c r="Q38" s="13">
        <f t="shared" si="10"/>
        <v>100.36995991334663</v>
      </c>
      <c r="S38" s="32">
        <v>24</v>
      </c>
      <c r="T38" s="32">
        <v>123.611570825855</v>
      </c>
      <c r="U38">
        <v>1</v>
      </c>
      <c r="AG38" s="13"/>
      <c r="AH38" s="13"/>
      <c r="AI38" s="13"/>
      <c r="AJ38" s="13"/>
      <c r="AK38" s="13"/>
      <c r="AL38" s="13"/>
      <c r="AN38" s="33">
        <v>25</v>
      </c>
      <c r="AO38" s="34">
        <v>0</v>
      </c>
      <c r="AP38" s="31"/>
      <c r="AQ38" s="13"/>
      <c r="AS38">
        <v>15</v>
      </c>
      <c r="AT38" s="13">
        <f t="shared" si="12"/>
        <v>0</v>
      </c>
      <c r="AV38" s="13"/>
      <c r="AW38" s="13"/>
    </row>
    <row r="39" spans="2:49" x14ac:dyDescent="0.25">
      <c r="B39" s="35">
        <v>0</v>
      </c>
      <c r="C39">
        <v>0</v>
      </c>
      <c r="F39">
        <f>C29</f>
        <v>4</v>
      </c>
      <c r="G39" s="13">
        <v>0</v>
      </c>
      <c r="H39" s="49" t="s">
        <v>103</v>
      </c>
      <c r="L39" s="24"/>
      <c r="N39" s="29">
        <v>25</v>
      </c>
      <c r="O39" s="30">
        <v>121.26758545446886</v>
      </c>
      <c r="P39" s="31">
        <f t="shared" si="9"/>
        <v>22.5</v>
      </c>
      <c r="Q39" s="13">
        <f t="shared" si="10"/>
        <v>134.7417616160765</v>
      </c>
      <c r="S39" s="44">
        <v>25</v>
      </c>
      <c r="T39" s="32">
        <v>286.00685298710999</v>
      </c>
      <c r="U39">
        <v>2</v>
      </c>
      <c r="AE39" s="13"/>
      <c r="AF39" s="13"/>
      <c r="AG39" s="13"/>
      <c r="AH39" s="13"/>
      <c r="AI39" s="13"/>
      <c r="AJ39" s="13"/>
      <c r="AK39" s="13"/>
      <c r="AL39" s="13"/>
      <c r="AN39" s="33">
        <v>26</v>
      </c>
      <c r="AO39" s="34">
        <v>0</v>
      </c>
      <c r="AP39" s="31"/>
      <c r="AQ39" s="13"/>
      <c r="AS39">
        <v>16</v>
      </c>
      <c r="AT39" s="13">
        <f t="shared" si="12"/>
        <v>0</v>
      </c>
      <c r="AV39" s="13"/>
      <c r="AW39" s="13"/>
    </row>
    <row r="40" spans="2:49" x14ac:dyDescent="0.25">
      <c r="B40" s="35" t="s">
        <v>101</v>
      </c>
      <c r="C40">
        <v>0</v>
      </c>
      <c r="F40">
        <f>G33</f>
        <v>25</v>
      </c>
      <c r="G40" s="13">
        <f>C40+(F40-$C$13)*($C$14)</f>
        <v>0</v>
      </c>
      <c r="H40" s="50" t="s">
        <v>104</v>
      </c>
      <c r="J40" s="31"/>
      <c r="L40" s="24"/>
      <c r="N40" s="29">
        <v>26</v>
      </c>
      <c r="O40" s="30">
        <v>160.92601694498035</v>
      </c>
      <c r="P40" s="31">
        <f t="shared" si="9"/>
        <v>23.400000000000002</v>
      </c>
      <c r="Q40" s="13">
        <f t="shared" si="10"/>
        <v>178.8066854944226</v>
      </c>
      <c r="S40" s="44">
        <v>26</v>
      </c>
      <c r="T40" s="32">
        <v>448.40213514836501</v>
      </c>
      <c r="U40">
        <v>3</v>
      </c>
      <c r="AE40" s="13"/>
      <c r="AF40" s="13"/>
      <c r="AG40" s="13"/>
      <c r="AH40" s="13"/>
      <c r="AI40" s="13"/>
      <c r="AJ40" s="13"/>
      <c r="AK40" s="13"/>
      <c r="AL40" s="13"/>
      <c r="AN40" s="33">
        <v>27</v>
      </c>
      <c r="AO40" s="34">
        <v>0</v>
      </c>
      <c r="AP40" s="31"/>
      <c r="AQ40" s="13"/>
      <c r="AS40">
        <v>17</v>
      </c>
      <c r="AT40" s="13">
        <f t="shared" si="12"/>
        <v>0</v>
      </c>
      <c r="AV40" s="13"/>
      <c r="AW40" s="13"/>
    </row>
    <row r="41" spans="2:49" x14ac:dyDescent="0.25">
      <c r="B41" s="35">
        <v>1</v>
      </c>
      <c r="C41" s="13">
        <f>H34</f>
        <v>1409</v>
      </c>
      <c r="D41" s="13">
        <f>I34*I35/(I34+I35)</f>
        <v>217.41526008100601</v>
      </c>
      <c r="E41" s="31">
        <f>C41/D41</f>
        <v>6.4806858519269781</v>
      </c>
      <c r="F41" s="31">
        <f>F40+E41</f>
        <v>31.480685851926978</v>
      </c>
      <c r="G41" s="13">
        <f>C41+(F41-$C$29)*($C$30)</f>
        <v>1409</v>
      </c>
      <c r="H41" s="51" t="s">
        <v>105</v>
      </c>
      <c r="L41" s="24"/>
      <c r="N41" s="29">
        <v>27</v>
      </c>
      <c r="O41" s="30">
        <v>211.28547039381056</v>
      </c>
      <c r="P41" s="31">
        <f t="shared" si="9"/>
        <v>24.3</v>
      </c>
      <c r="Q41" s="13">
        <f t="shared" si="10"/>
        <v>234.7616337709006</v>
      </c>
      <c r="S41" s="44">
        <v>27</v>
      </c>
      <c r="T41" s="32">
        <v>610.79741730961996</v>
      </c>
      <c r="U41">
        <v>4</v>
      </c>
      <c r="AE41" s="13"/>
      <c r="AF41" s="13"/>
      <c r="AG41" s="13"/>
      <c r="AH41" s="13"/>
      <c r="AI41" s="13"/>
      <c r="AJ41" s="13"/>
      <c r="AK41" s="13"/>
      <c r="AL41" s="13"/>
      <c r="AN41" s="33">
        <v>28</v>
      </c>
      <c r="AO41" s="34">
        <v>0</v>
      </c>
      <c r="AP41" s="31"/>
      <c r="AQ41" s="13"/>
      <c r="AS41">
        <v>18</v>
      </c>
      <c r="AT41" s="13">
        <f t="shared" si="12"/>
        <v>0</v>
      </c>
      <c r="AV41" s="13"/>
      <c r="AW41" s="13"/>
    </row>
    <row r="42" spans="2:49" x14ac:dyDescent="0.25">
      <c r="B42" s="35">
        <v>2</v>
      </c>
      <c r="C42" s="13">
        <f>H35</f>
        <v>3944</v>
      </c>
      <c r="D42" s="13">
        <f>I35</f>
        <v>1303.8016528925618</v>
      </c>
      <c r="E42" s="31">
        <f>(C42-C41)/D42</f>
        <v>1.9443141480730226</v>
      </c>
      <c r="F42" s="31">
        <f>F41+E42</f>
        <v>33.424999999999997</v>
      </c>
      <c r="G42" s="13">
        <f t="shared" ref="G42:G43" si="15">C42+(F42-$C$29)*($C$30)</f>
        <v>3944</v>
      </c>
      <c r="H42" s="51" t="s">
        <v>106</v>
      </c>
      <c r="L42" s="24"/>
      <c r="N42" s="29">
        <v>28</v>
      </c>
      <c r="O42" s="30">
        <v>274.67066462501327</v>
      </c>
      <c r="P42" s="31">
        <f t="shared" si="9"/>
        <v>25.2</v>
      </c>
      <c r="Q42" s="13">
        <f t="shared" si="10"/>
        <v>305.18962736112587</v>
      </c>
      <c r="S42" s="44">
        <v>28</v>
      </c>
      <c r="T42" s="32">
        <v>773.19269947087503</v>
      </c>
      <c r="U42">
        <v>5</v>
      </c>
      <c r="AE42" s="13"/>
      <c r="AF42" s="13"/>
      <c r="AG42" s="13"/>
      <c r="AH42" s="13"/>
      <c r="AI42" s="13"/>
      <c r="AJ42" s="13"/>
      <c r="AK42" s="13"/>
      <c r="AL42" s="13"/>
      <c r="AN42" s="33">
        <v>29</v>
      </c>
      <c r="AO42" s="34">
        <v>0</v>
      </c>
      <c r="AP42" s="31"/>
      <c r="AQ42" s="13"/>
      <c r="AS42">
        <v>19</v>
      </c>
      <c r="AT42" s="13">
        <f t="shared" si="12"/>
        <v>0</v>
      </c>
      <c r="AV42" s="13"/>
      <c r="AW42" s="13"/>
    </row>
    <row r="43" spans="2:49" x14ac:dyDescent="0.25">
      <c r="B43" s="35">
        <v>3</v>
      </c>
      <c r="C43" s="13">
        <f>H36</f>
        <v>7326</v>
      </c>
      <c r="D43" s="13">
        <f>I36</f>
        <v>1210.9090909090908</v>
      </c>
      <c r="E43" s="31">
        <f>(C43-C42)/D43</f>
        <v>2.7929429429429433</v>
      </c>
      <c r="F43" s="31">
        <f>F42+E43</f>
        <v>36.21794294294294</v>
      </c>
      <c r="G43" s="13">
        <f t="shared" si="15"/>
        <v>7326</v>
      </c>
      <c r="H43" s="51"/>
      <c r="L43" s="24"/>
      <c r="N43" s="29">
        <v>29</v>
      </c>
      <c r="O43" s="30">
        <v>353.79859265071366</v>
      </c>
      <c r="P43" s="31">
        <f t="shared" si="9"/>
        <v>26.1</v>
      </c>
      <c r="Q43" s="13">
        <f t="shared" si="10"/>
        <v>393.10954738968184</v>
      </c>
      <c r="S43" s="44">
        <v>29</v>
      </c>
      <c r="T43" s="32">
        <v>935.58798163212998</v>
      </c>
      <c r="U43">
        <v>6</v>
      </c>
      <c r="AE43" s="13"/>
      <c r="AF43" s="13"/>
      <c r="AG43" s="13"/>
      <c r="AH43" s="13"/>
      <c r="AI43" s="13"/>
      <c r="AJ43" s="13"/>
      <c r="AK43" s="13"/>
      <c r="AL43" s="13"/>
      <c r="AN43" s="33">
        <v>30</v>
      </c>
      <c r="AO43" s="34">
        <v>0</v>
      </c>
      <c r="AP43" s="31"/>
      <c r="AQ43" s="13"/>
      <c r="AS43">
        <v>20</v>
      </c>
      <c r="AT43" s="13">
        <f t="shared" si="12"/>
        <v>0</v>
      </c>
      <c r="AV43" s="13"/>
      <c r="AW43" s="13"/>
    </row>
    <row r="44" spans="2:49" x14ac:dyDescent="0.25"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7"/>
      <c r="N44" s="29">
        <v>30</v>
      </c>
      <c r="O44" s="30">
        <v>451.82711267663359</v>
      </c>
      <c r="P44" s="31">
        <f t="shared" si="9"/>
        <v>27</v>
      </c>
      <c r="Q44" s="13">
        <f t="shared" si="10"/>
        <v>502.03012519625952</v>
      </c>
      <c r="S44" s="44">
        <v>30</v>
      </c>
      <c r="T44" s="32">
        <v>1097.98326379338</v>
      </c>
      <c r="U44">
        <v>7</v>
      </c>
      <c r="AE44" s="13"/>
      <c r="AF44" s="13"/>
      <c r="AG44" s="13"/>
      <c r="AH44" s="13"/>
      <c r="AI44" s="13"/>
      <c r="AJ44" s="13"/>
      <c r="AK44" s="13"/>
      <c r="AL44" s="13"/>
      <c r="AN44" s="33"/>
      <c r="AO44" s="34"/>
      <c r="AP44" s="31"/>
      <c r="AQ44" s="13"/>
      <c r="AS44">
        <v>21</v>
      </c>
      <c r="AT44" s="13">
        <f t="shared" si="12"/>
        <v>0</v>
      </c>
    </row>
    <row r="45" spans="2:49" x14ac:dyDescent="0.25">
      <c r="N45" s="29">
        <v>31</v>
      </c>
      <c r="O45" s="30">
        <v>572.40753534669807</v>
      </c>
      <c r="P45" s="31">
        <f t="shared" si="9"/>
        <v>27.900000000000002</v>
      </c>
      <c r="Q45" s="13">
        <f t="shared" si="10"/>
        <v>636.00837260744231</v>
      </c>
      <c r="S45" s="44">
        <v>31</v>
      </c>
      <c r="T45" s="32">
        <v>1260.37854595464</v>
      </c>
      <c r="U45">
        <v>8</v>
      </c>
      <c r="AE45" s="13"/>
      <c r="AF45" s="13"/>
      <c r="AG45" s="13"/>
      <c r="AH45" s="13"/>
      <c r="AI45" s="13"/>
      <c r="AJ45" s="13"/>
      <c r="AK45" s="13"/>
      <c r="AL45" s="13"/>
      <c r="AN45" s="33"/>
      <c r="AO45" s="34"/>
      <c r="AP45" s="31"/>
      <c r="AQ45" s="13"/>
      <c r="AS45">
        <v>22</v>
      </c>
      <c r="AT45" s="13">
        <f t="shared" si="12"/>
        <v>0</v>
      </c>
    </row>
    <row r="46" spans="2:49" x14ac:dyDescent="0.25">
      <c r="N46" s="29">
        <v>32</v>
      </c>
      <c r="O46" s="30">
        <v>719.74138115076858</v>
      </c>
      <c r="P46" s="31">
        <f t="shared" si="9"/>
        <v>28.8</v>
      </c>
      <c r="Q46" s="13">
        <f t="shared" si="10"/>
        <v>799.71264572307621</v>
      </c>
      <c r="S46" s="44">
        <v>32</v>
      </c>
      <c r="T46" s="32">
        <v>1464.2673995324401</v>
      </c>
      <c r="U46">
        <v>9</v>
      </c>
      <c r="AE46" s="13"/>
      <c r="AF46" s="13"/>
      <c r="AG46" s="13"/>
      <c r="AH46" s="13"/>
      <c r="AI46" s="13"/>
      <c r="AJ46" s="13"/>
      <c r="AK46" s="13"/>
      <c r="AL46" s="13"/>
      <c r="AN46" s="33"/>
      <c r="AO46" s="34"/>
      <c r="AP46" s="31"/>
      <c r="AQ46" s="13"/>
      <c r="AS46">
        <v>23</v>
      </c>
      <c r="AT46" s="13">
        <f t="shared" si="12"/>
        <v>0</v>
      </c>
    </row>
    <row r="47" spans="2:49" x14ac:dyDescent="0.25"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9"/>
      <c r="N47" s="29">
        <v>33</v>
      </c>
      <c r="O47" s="30">
        <v>898.64148320964819</v>
      </c>
      <c r="P47" s="31">
        <f t="shared" si="9"/>
        <v>29.7</v>
      </c>
      <c r="Q47" s="13">
        <f t="shared" si="10"/>
        <v>998.49053689960908</v>
      </c>
      <c r="S47" s="44">
        <v>33</v>
      </c>
      <c r="T47" s="32">
        <v>2015.42148760331</v>
      </c>
      <c r="U47">
        <v>10</v>
      </c>
      <c r="AE47" s="13"/>
      <c r="AF47" s="13"/>
      <c r="AG47" s="13"/>
      <c r="AH47" s="13"/>
      <c r="AI47" s="13"/>
      <c r="AJ47" s="13"/>
      <c r="AK47" s="13"/>
      <c r="AL47" s="13"/>
      <c r="AN47" s="33"/>
      <c r="AO47" s="34"/>
      <c r="AP47" s="31"/>
      <c r="AQ47" s="13"/>
      <c r="AS47">
        <v>24</v>
      </c>
      <c r="AT47" s="13">
        <f t="shared" si="12"/>
        <v>0</v>
      </c>
    </row>
    <row r="48" spans="2:49" x14ac:dyDescent="0.25">
      <c r="B48" s="23" t="s">
        <v>107</v>
      </c>
      <c r="L48" s="24"/>
      <c r="N48" s="29">
        <v>34</v>
      </c>
      <c r="O48" s="30">
        <v>1114.5976119076258</v>
      </c>
      <c r="P48" s="31">
        <f t="shared" si="9"/>
        <v>30.6</v>
      </c>
      <c r="Q48" s="13">
        <f t="shared" si="10"/>
        <v>1238.441791008473</v>
      </c>
      <c r="S48" s="44">
        <v>34</v>
      </c>
      <c r="T48" s="32">
        <v>2574.4297520661198</v>
      </c>
      <c r="U48">
        <v>11</v>
      </c>
      <c r="AE48" s="13"/>
      <c r="AF48" s="13"/>
      <c r="AG48" s="13"/>
      <c r="AH48" s="13"/>
      <c r="AI48" s="13"/>
      <c r="AJ48" s="13"/>
      <c r="AK48" s="13"/>
      <c r="AL48" s="13"/>
      <c r="AN48" s="33"/>
      <c r="AO48" s="34"/>
      <c r="AP48" s="31"/>
      <c r="AQ48" s="13"/>
      <c r="AS48">
        <v>25</v>
      </c>
      <c r="AT48" s="13">
        <f t="shared" si="12"/>
        <v>0</v>
      </c>
    </row>
    <row r="49" spans="2:46" x14ac:dyDescent="0.25">
      <c r="B49" s="23" t="s">
        <v>121</v>
      </c>
      <c r="L49" s="24"/>
      <c r="N49" s="29">
        <v>35</v>
      </c>
      <c r="O49" s="30">
        <v>1373.8467990670038</v>
      </c>
      <c r="P49" s="31">
        <f t="shared" si="9"/>
        <v>31.5</v>
      </c>
      <c r="Q49" s="13">
        <f t="shared" si="10"/>
        <v>1526.496443407782</v>
      </c>
      <c r="S49" s="44">
        <v>35</v>
      </c>
      <c r="T49" s="32">
        <v>3133.4380165289299</v>
      </c>
      <c r="U49">
        <v>12</v>
      </c>
      <c r="AE49" s="13"/>
      <c r="AF49" s="13"/>
      <c r="AG49" s="13"/>
      <c r="AH49" s="13"/>
      <c r="AI49" s="13"/>
      <c r="AJ49" s="13"/>
      <c r="AK49" s="13"/>
      <c r="AL49" s="13"/>
      <c r="AN49" s="33"/>
      <c r="AO49" s="34"/>
      <c r="AP49" s="31"/>
      <c r="AQ49" s="13"/>
      <c r="AS49">
        <v>26</v>
      </c>
      <c r="AT49" s="13">
        <f t="shared" si="12"/>
        <v>0</v>
      </c>
    </row>
    <row r="50" spans="2:46" x14ac:dyDescent="0.25">
      <c r="B50" s="23" t="s">
        <v>108</v>
      </c>
      <c r="L50" s="24"/>
      <c r="N50" s="29">
        <v>36</v>
      </c>
      <c r="O50" s="30">
        <v>1683.4485405529244</v>
      </c>
      <c r="P50" s="31">
        <f t="shared" si="9"/>
        <v>32.4</v>
      </c>
      <c r="Q50" s="13">
        <f t="shared" si="10"/>
        <v>1870.4983783921382</v>
      </c>
      <c r="S50" s="44">
        <v>36</v>
      </c>
      <c r="T50" s="32">
        <v>3692.44628099174</v>
      </c>
      <c r="U50">
        <v>13</v>
      </c>
      <c r="AE50" s="13"/>
      <c r="AF50" s="13"/>
      <c r="AG50" s="13"/>
      <c r="AH50" s="13"/>
      <c r="AI50" s="13"/>
      <c r="AJ50" s="13"/>
      <c r="AK50" s="13"/>
      <c r="AL50" s="13"/>
      <c r="AN50" s="33"/>
      <c r="AO50" s="34"/>
      <c r="AP50" s="31"/>
      <c r="AQ50" s="13"/>
      <c r="AS50">
        <v>27</v>
      </c>
      <c r="AT50" s="13">
        <f t="shared" si="12"/>
        <v>0</v>
      </c>
    </row>
    <row r="51" spans="2:46" x14ac:dyDescent="0.25">
      <c r="B51" s="23"/>
      <c r="C51" s="1"/>
      <c r="D51" s="1"/>
      <c r="E51" s="1"/>
      <c r="F51" s="1"/>
      <c r="G51" s="1"/>
      <c r="H51" s="1"/>
      <c r="I51" s="1"/>
      <c r="J51" s="1"/>
      <c r="K51" s="1"/>
      <c r="L51" s="24"/>
      <c r="N51" s="29">
        <v>37</v>
      </c>
      <c r="O51" s="30">
        <v>2051.3650573622494</v>
      </c>
      <c r="P51" s="52">
        <f t="shared" si="9"/>
        <v>33.300000000000004</v>
      </c>
      <c r="Q51" s="53">
        <f t="shared" si="10"/>
        <v>2279.2945081802773</v>
      </c>
      <c r="S51" s="44">
        <v>37</v>
      </c>
      <c r="T51" s="32">
        <v>4251.4545454545396</v>
      </c>
      <c r="U51">
        <v>14</v>
      </c>
      <c r="AE51" s="13"/>
      <c r="AF51" s="13"/>
      <c r="AG51" s="13"/>
      <c r="AH51" s="13"/>
      <c r="AN51" s="33"/>
      <c r="AO51" s="34"/>
      <c r="AP51" s="31"/>
      <c r="AQ51" s="13"/>
      <c r="AS51">
        <v>28</v>
      </c>
      <c r="AT51" s="13">
        <f t="shared" si="12"/>
        <v>0</v>
      </c>
    </row>
    <row r="52" spans="2:46" x14ac:dyDescent="0.25">
      <c r="B52" s="35"/>
      <c r="G52" s="36"/>
      <c r="L52" s="24"/>
      <c r="N52" s="29">
        <v>38</v>
      </c>
      <c r="O52" s="30">
        <v>2486.5467963886058</v>
      </c>
      <c r="P52" s="31">
        <f t="shared" si="9"/>
        <v>34.200000000000003</v>
      </c>
      <c r="Q52" s="13">
        <f t="shared" si="10"/>
        <v>2762.8297737651174</v>
      </c>
      <c r="S52" s="44">
        <v>38</v>
      </c>
      <c r="T52" s="32">
        <v>4810.4628099173597</v>
      </c>
      <c r="U52">
        <v>15</v>
      </c>
      <c r="AN52" s="33"/>
      <c r="AO52" s="34"/>
      <c r="AP52" s="31"/>
      <c r="AQ52" s="13"/>
      <c r="AS52">
        <v>29</v>
      </c>
      <c r="AT52" s="13">
        <f t="shared" si="12"/>
        <v>0</v>
      </c>
    </row>
    <row r="53" spans="2:46" x14ac:dyDescent="0.25">
      <c r="B53" s="35"/>
      <c r="C53" s="37"/>
      <c r="D53" s="36"/>
      <c r="E53" s="36"/>
      <c r="F53" s="38"/>
      <c r="G53" s="14"/>
      <c r="H53" s="39"/>
      <c r="I53" s="13"/>
      <c r="J53" s="40"/>
      <c r="K53" s="31"/>
      <c r="L53" s="24"/>
      <c r="N53" s="29">
        <v>39</v>
      </c>
      <c r="O53" s="30">
        <v>2999.0233531682784</v>
      </c>
      <c r="P53" s="31">
        <f t="shared" si="9"/>
        <v>35.1</v>
      </c>
      <c r="Q53" s="13">
        <f t="shared" si="10"/>
        <v>3332.248170186976</v>
      </c>
      <c r="S53" s="44">
        <v>39</v>
      </c>
      <c r="T53" s="32">
        <v>5369.4710743801697</v>
      </c>
      <c r="U53">
        <v>16</v>
      </c>
      <c r="AN53" s="33"/>
      <c r="AO53" s="34"/>
      <c r="AP53" s="31"/>
      <c r="AQ53" s="13"/>
      <c r="AS53">
        <v>30</v>
      </c>
      <c r="AT53" s="13">
        <f t="shared" si="12"/>
        <v>0</v>
      </c>
    </row>
    <row r="54" spans="2:46" x14ac:dyDescent="0.25">
      <c r="B54" s="35"/>
      <c r="C54" s="37"/>
      <c r="D54" s="36"/>
      <c r="E54" s="36"/>
      <c r="F54" s="38"/>
      <c r="G54" s="14"/>
      <c r="H54" s="39"/>
      <c r="I54" s="13"/>
      <c r="J54" s="40"/>
      <c r="K54" s="31"/>
      <c r="L54" s="24"/>
      <c r="N54" s="29">
        <v>40</v>
      </c>
      <c r="O54" s="30">
        <v>3600</v>
      </c>
      <c r="P54" s="31">
        <f t="shared" si="9"/>
        <v>36</v>
      </c>
      <c r="Q54" s="13">
        <f t="shared" si="10"/>
        <v>4000</v>
      </c>
      <c r="S54" s="44">
        <v>40</v>
      </c>
      <c r="T54" s="32">
        <v>5928.4793388429798</v>
      </c>
      <c r="U54">
        <v>17</v>
      </c>
      <c r="AN54" s="33"/>
      <c r="AO54" s="34"/>
      <c r="AT54" s="13"/>
    </row>
    <row r="55" spans="2:46" x14ac:dyDescent="0.25">
      <c r="B55" s="35"/>
      <c r="L55" s="24"/>
      <c r="N55" s="29">
        <v>41</v>
      </c>
      <c r="O55" s="30"/>
      <c r="P55" s="31">
        <f t="shared" si="9"/>
        <v>36.9</v>
      </c>
      <c r="Q55" s="13">
        <f t="shared" si="10"/>
        <v>0</v>
      </c>
      <c r="S55" s="44">
        <v>41</v>
      </c>
      <c r="T55" s="32">
        <v>6487.4876033057799</v>
      </c>
      <c r="U55">
        <v>18</v>
      </c>
      <c r="AN55" s="33"/>
      <c r="AO55" s="34"/>
      <c r="AT55" s="13"/>
    </row>
    <row r="56" spans="2:46" x14ac:dyDescent="0.25">
      <c r="B56" s="23"/>
      <c r="C56" s="1"/>
      <c r="D56" s="1"/>
      <c r="E56" s="1"/>
      <c r="F56" s="1"/>
      <c r="G56" s="1"/>
      <c r="I56" s="41"/>
      <c r="J56" s="42"/>
      <c r="K56" s="43"/>
      <c r="L56" s="24"/>
      <c r="N56" s="29">
        <v>42</v>
      </c>
      <c r="O56" s="30"/>
      <c r="P56" s="31">
        <f t="shared" si="9"/>
        <v>37.800000000000004</v>
      </c>
      <c r="Q56" s="13">
        <f t="shared" si="10"/>
        <v>0</v>
      </c>
      <c r="S56" s="44">
        <v>42</v>
      </c>
      <c r="T56" s="32">
        <v>7046.4958677686</v>
      </c>
      <c r="U56">
        <v>19</v>
      </c>
      <c r="V56" s="96" t="s">
        <v>148</v>
      </c>
      <c r="AN56" s="33"/>
      <c r="AO56" s="34"/>
      <c r="AT56" s="13"/>
    </row>
    <row r="57" spans="2:46" x14ac:dyDescent="0.25">
      <c r="B57" s="35"/>
      <c r="G57" s="13"/>
      <c r="L57" s="24"/>
      <c r="N57" s="29">
        <v>43</v>
      </c>
      <c r="O57" s="30"/>
      <c r="P57" s="48">
        <f t="shared" si="9"/>
        <v>38.700000000000003</v>
      </c>
      <c r="Q57" s="46">
        <f t="shared" si="10"/>
        <v>0</v>
      </c>
      <c r="S57" s="44">
        <v>43</v>
      </c>
      <c r="T57" s="32">
        <v>7580.04700416367</v>
      </c>
      <c r="U57">
        <v>20</v>
      </c>
      <c r="V57">
        <v>0</v>
      </c>
      <c r="W57">
        <v>1</v>
      </c>
      <c r="X57">
        <v>2</v>
      </c>
      <c r="Y57">
        <v>3</v>
      </c>
      <c r="Z57">
        <v>4</v>
      </c>
      <c r="AA57">
        <v>5</v>
      </c>
      <c r="AB57">
        <v>6</v>
      </c>
      <c r="AC57">
        <v>7</v>
      </c>
      <c r="AD57">
        <v>8</v>
      </c>
      <c r="AE57">
        <v>9</v>
      </c>
      <c r="AF57">
        <v>10</v>
      </c>
      <c r="AG57">
        <v>11</v>
      </c>
      <c r="AH57">
        <v>12</v>
      </c>
      <c r="AI57">
        <v>13</v>
      </c>
      <c r="AJ57">
        <v>14</v>
      </c>
      <c r="AN57" s="33"/>
      <c r="AO57" s="34"/>
      <c r="AT57" s="13"/>
    </row>
    <row r="58" spans="2:46" x14ac:dyDescent="0.25">
      <c r="B58" s="35"/>
      <c r="G58" s="13"/>
      <c r="J58" s="31"/>
      <c r="L58" s="24"/>
      <c r="N58" s="29">
        <v>44</v>
      </c>
      <c r="O58" s="30"/>
      <c r="P58" s="31">
        <f t="shared" si="9"/>
        <v>39.6</v>
      </c>
      <c r="Q58" s="13">
        <f t="shared" si="10"/>
        <v>0</v>
      </c>
      <c r="S58" s="44"/>
      <c r="T58" s="32"/>
      <c r="V58">
        <v>0</v>
      </c>
      <c r="W58">
        <v>53.981657609999999</v>
      </c>
      <c r="X58">
        <v>215.92663039999999</v>
      </c>
      <c r="Y58">
        <v>442.64959240000002</v>
      </c>
      <c r="Z58">
        <v>690.96521740000003</v>
      </c>
      <c r="AA58">
        <v>944.6790082</v>
      </c>
      <c r="AB58">
        <v>1187.5964670000001</v>
      </c>
      <c r="AC58">
        <v>1430.513927</v>
      </c>
      <c r="AD58">
        <v>1646.4405569999999</v>
      </c>
      <c r="AE58">
        <v>1878.5616849999999</v>
      </c>
      <c r="AF58">
        <v>2159.2663040000002</v>
      </c>
      <c r="AG58">
        <v>2780.0553669999999</v>
      </c>
      <c r="AH58">
        <v>3535.798573</v>
      </c>
      <c r="AI58">
        <v>4307.736277</v>
      </c>
      <c r="AJ58">
        <v>5128.2574729999997</v>
      </c>
      <c r="AN58" s="33"/>
      <c r="AO58" s="34"/>
      <c r="AT58" s="13"/>
    </row>
    <row r="59" spans="2:46" x14ac:dyDescent="0.25">
      <c r="B59" s="35"/>
      <c r="C59" s="13"/>
      <c r="D59" s="13"/>
      <c r="E59" s="31"/>
      <c r="F59" s="31"/>
      <c r="G59" s="13"/>
      <c r="L59" s="24"/>
      <c r="N59" s="29">
        <v>45</v>
      </c>
      <c r="O59" s="30"/>
      <c r="P59" s="52">
        <f t="shared" si="9"/>
        <v>40.5</v>
      </c>
      <c r="Q59" s="53">
        <f t="shared" si="10"/>
        <v>0</v>
      </c>
      <c r="S59" s="44"/>
      <c r="T59" s="32"/>
      <c r="AN59" s="33"/>
      <c r="AO59" s="34"/>
      <c r="AT59" s="13"/>
    </row>
    <row r="60" spans="2:46" x14ac:dyDescent="0.25">
      <c r="B60" s="35"/>
      <c r="C60" s="13"/>
      <c r="D60" s="13"/>
      <c r="E60" s="31"/>
      <c r="F60" s="31"/>
      <c r="G60" s="13"/>
      <c r="L60" s="24"/>
      <c r="N60" s="29">
        <v>46</v>
      </c>
      <c r="O60" s="30"/>
      <c r="P60" s="31">
        <f t="shared" si="9"/>
        <v>41.4</v>
      </c>
      <c r="Q60" s="13">
        <f t="shared" si="10"/>
        <v>0</v>
      </c>
      <c r="S60" s="44"/>
      <c r="T60" s="32"/>
      <c r="AN60" s="33"/>
      <c r="AO60" s="34"/>
      <c r="AT60" s="13"/>
    </row>
    <row r="61" spans="2:46" x14ac:dyDescent="0.25"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7"/>
      <c r="N61" s="29">
        <v>47</v>
      </c>
      <c r="O61" s="30"/>
      <c r="P61" s="31">
        <f t="shared" si="9"/>
        <v>42.300000000000004</v>
      </c>
      <c r="Q61" s="13">
        <f t="shared" si="10"/>
        <v>0</v>
      </c>
      <c r="S61" s="44"/>
      <c r="T61" s="32"/>
      <c r="V61" s="13"/>
      <c r="AN61" s="33"/>
      <c r="AO61" s="34"/>
      <c r="AT61" s="13"/>
    </row>
    <row r="62" spans="2:46" x14ac:dyDescent="0.25">
      <c r="N62" s="29">
        <v>48</v>
      </c>
      <c r="O62" s="30"/>
      <c r="P62" s="31">
        <f t="shared" si="9"/>
        <v>43.2</v>
      </c>
      <c r="Q62" s="13">
        <f t="shared" si="10"/>
        <v>0</v>
      </c>
      <c r="S62" s="44"/>
      <c r="T62" s="32"/>
      <c r="V62" s="13"/>
      <c r="AN62" s="33"/>
      <c r="AO62" s="34"/>
      <c r="AT62" s="13"/>
    </row>
    <row r="63" spans="2:46" x14ac:dyDescent="0.25">
      <c r="N63" s="29">
        <v>49</v>
      </c>
      <c r="O63" s="30"/>
      <c r="P63" s="31">
        <f t="shared" si="9"/>
        <v>44.1</v>
      </c>
      <c r="Q63" s="13">
        <f t="shared" si="10"/>
        <v>0</v>
      </c>
      <c r="S63" s="44"/>
      <c r="T63" s="32"/>
      <c r="V63" s="13"/>
      <c r="AN63" s="33"/>
      <c r="AO63" s="34"/>
      <c r="AT63" s="13"/>
    </row>
    <row r="64" spans="2:46" x14ac:dyDescent="0.25">
      <c r="N64" s="29">
        <v>50</v>
      </c>
      <c r="O64" s="30"/>
      <c r="P64" s="31">
        <f t="shared" si="9"/>
        <v>45</v>
      </c>
      <c r="Q64" s="13">
        <f t="shared" si="10"/>
        <v>0</v>
      </c>
      <c r="S64" s="44"/>
      <c r="T64" s="32"/>
      <c r="V64" s="13"/>
      <c r="AT64" s="13"/>
    </row>
    <row r="65" spans="22:46" x14ac:dyDescent="0.25">
      <c r="V65" s="13"/>
      <c r="AT65" s="13"/>
    </row>
    <row r="66" spans="22:46" x14ac:dyDescent="0.25">
      <c r="V66" s="13"/>
      <c r="AT66" s="13"/>
    </row>
    <row r="67" spans="22:46" x14ac:dyDescent="0.25">
      <c r="V67" s="13"/>
      <c r="AT67" s="13"/>
    </row>
    <row r="68" spans="22:46" x14ac:dyDescent="0.25">
      <c r="V68" s="13"/>
      <c r="AT68" s="13"/>
    </row>
    <row r="69" spans="22:46" x14ac:dyDescent="0.25">
      <c r="V69" s="13"/>
      <c r="AT69" s="13"/>
    </row>
    <row r="70" spans="22:46" x14ac:dyDescent="0.25">
      <c r="V70" s="13"/>
      <c r="AT70" s="13"/>
    </row>
    <row r="71" spans="22:46" x14ac:dyDescent="0.25">
      <c r="V71" s="13"/>
      <c r="AT71" s="13"/>
    </row>
    <row r="72" spans="22:46" x14ac:dyDescent="0.25">
      <c r="V72" s="13"/>
      <c r="AT72" s="13"/>
    </row>
    <row r="73" spans="22:46" x14ac:dyDescent="0.25">
      <c r="V73" s="13"/>
      <c r="AT73" s="13"/>
    </row>
    <row r="74" spans="22:46" x14ac:dyDescent="0.25">
      <c r="V74" s="1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9294-7370-45FB-90A9-48E8425F856B}">
  <sheetPr>
    <tabColor rgb="FFFFC000"/>
  </sheetPr>
  <dimension ref="B2:AT73"/>
  <sheetViews>
    <sheetView topLeftCell="A25" zoomScale="85" zoomScaleNormal="85" workbookViewId="0">
      <selection activeCell="U48" sqref="U48"/>
    </sheetView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4" width="9.7109375" customWidth="1"/>
    <col min="39" max="39" width="11.42578125" bestFit="1" customWidth="1"/>
  </cols>
  <sheetData>
    <row r="2" spans="2:46" x14ac:dyDescent="0.25">
      <c r="B2" s="1" t="s">
        <v>0</v>
      </c>
    </row>
    <row r="3" spans="2:46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2" t="s">
        <v>14</v>
      </c>
      <c r="AE3" s="8" t="s">
        <v>15</v>
      </c>
      <c r="AF3" s="8" t="s">
        <v>16</v>
      </c>
      <c r="AG3" s="8" t="s">
        <v>17</v>
      </c>
      <c r="AH3" s="8" t="s">
        <v>18</v>
      </c>
      <c r="AJ3" t="s">
        <v>10</v>
      </c>
      <c r="AO3" t="s">
        <v>19</v>
      </c>
    </row>
    <row r="4" spans="2:46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>
        <f>Z4/Y4</f>
        <v>2621.1111111111109</v>
      </c>
      <c r="AJ4" s="13">
        <f>K4</f>
        <v>790.5</v>
      </c>
      <c r="AK4" s="13">
        <f>P4</f>
        <v>1409</v>
      </c>
      <c r="AL4" s="13">
        <f>U4</f>
        <v>1913</v>
      </c>
      <c r="AM4" s="13">
        <f>Z4</f>
        <v>2359</v>
      </c>
      <c r="AO4" s="14">
        <f>J4</f>
        <v>0.22500000000000001</v>
      </c>
      <c r="AP4" s="14">
        <f>O4</f>
        <v>0.45</v>
      </c>
      <c r="AQ4" s="14">
        <f>T4</f>
        <v>0.67500000000000004</v>
      </c>
      <c r="AR4" s="14">
        <f>Y4</f>
        <v>0.9</v>
      </c>
    </row>
    <row r="5" spans="2:46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>
        <v>3721.9047619047619</v>
      </c>
      <c r="AJ5" s="13">
        <f t="shared" ref="AJ5" si="0">K5</f>
        <v>1291</v>
      </c>
      <c r="AK5" s="13">
        <f t="shared" ref="AK5" si="1">P5</f>
        <v>2313</v>
      </c>
      <c r="AL5" s="13">
        <f t="shared" ref="AL5" si="2">U5</f>
        <v>3155</v>
      </c>
      <c r="AM5" s="13">
        <f t="shared" ref="AM5" si="3">Z5</f>
        <v>3908</v>
      </c>
      <c r="AO5" s="14">
        <f t="shared" ref="AO5" si="4">J5</f>
        <v>0.26200000000000001</v>
      </c>
      <c r="AP5" s="14">
        <f t="shared" ref="AP5" si="5">O5</f>
        <v>0.52500000000000002</v>
      </c>
      <c r="AQ5" s="14">
        <f t="shared" ref="AQ5" si="6">T5</f>
        <v>0.78700000000000003</v>
      </c>
      <c r="AR5" s="14">
        <f t="shared" ref="AR5" si="7">Y5</f>
        <v>1.05</v>
      </c>
    </row>
    <row r="6" spans="2:46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>
        <f>Z6/Y6</f>
        <v>5981.8181818181811</v>
      </c>
      <c r="AJ6" s="13">
        <f>K6</f>
        <v>1972</v>
      </c>
      <c r="AK6" s="13">
        <f>P6</f>
        <v>3663</v>
      </c>
      <c r="AL6" s="13">
        <f>U6</f>
        <v>5169</v>
      </c>
      <c r="AM6" s="13">
        <f>Z6</f>
        <v>6580</v>
      </c>
      <c r="AO6" s="14">
        <f>J6</f>
        <v>0.27500000000000002</v>
      </c>
      <c r="AP6" s="14">
        <f>O6</f>
        <v>0.55000000000000004</v>
      </c>
      <c r="AQ6" s="14">
        <f>T6</f>
        <v>0.82499999999999996</v>
      </c>
      <c r="AR6" s="14">
        <f>Y6</f>
        <v>1.1000000000000001</v>
      </c>
    </row>
    <row r="7" spans="2:46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>
        <f>Z7/Y7</f>
        <v>8821.176470588236</v>
      </c>
      <c r="AJ7" s="13">
        <f>K7</f>
        <v>2097</v>
      </c>
      <c r="AK7" s="13">
        <f>P7</f>
        <v>4003</v>
      </c>
      <c r="AL7" s="13">
        <f>U7</f>
        <v>5783</v>
      </c>
      <c r="AM7" s="13">
        <f>Z7</f>
        <v>7498</v>
      </c>
      <c r="AO7" s="14">
        <f>J7</f>
        <v>0.21199999999999999</v>
      </c>
      <c r="AP7" s="14">
        <f>O7</f>
        <v>0.42499999999999999</v>
      </c>
      <c r="AQ7" s="14">
        <f>T7</f>
        <v>0.63700000000000001</v>
      </c>
      <c r="AR7" s="14">
        <f>Y7</f>
        <v>0.85</v>
      </c>
    </row>
    <row r="8" spans="2:46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>
        <f t="shared" ref="AH8" si="11">Z8/Y8</f>
        <v>10738.666666666666</v>
      </c>
      <c r="AJ8" s="13">
        <f>K8</f>
        <v>2199</v>
      </c>
      <c r="AK8" s="13">
        <f>P8</f>
        <v>4239</v>
      </c>
      <c r="AL8" s="13">
        <f>U8</f>
        <v>6173</v>
      </c>
      <c r="AM8" s="13">
        <f>Z8</f>
        <v>8054</v>
      </c>
      <c r="AO8" s="14">
        <f>J8</f>
        <v>0.187</v>
      </c>
      <c r="AP8" s="14">
        <f>O8</f>
        <v>0.375</v>
      </c>
      <c r="AQ8" s="14">
        <f>T8</f>
        <v>0.56200000000000006</v>
      </c>
      <c r="AR8" s="14">
        <f>Y8</f>
        <v>0.75</v>
      </c>
    </row>
    <row r="9" spans="2:4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</row>
    <row r="10" spans="2:46" x14ac:dyDescent="0.25">
      <c r="N10" s="15" t="s">
        <v>71</v>
      </c>
      <c r="O10" s="16">
        <v>0.9</v>
      </c>
      <c r="Q10" s="47" t="s">
        <v>102</v>
      </c>
      <c r="R10" s="16">
        <v>36</v>
      </c>
    </row>
    <row r="11" spans="2:46" x14ac:dyDescent="0.25">
      <c r="U11" s="128" t="s">
        <v>170</v>
      </c>
      <c r="AH11" s="22"/>
      <c r="AK11" s="20" t="s">
        <v>75</v>
      </c>
      <c r="AL11" s="18"/>
      <c r="AM11" s="18"/>
      <c r="AN11" s="19"/>
      <c r="AP11" s="1" t="s">
        <v>76</v>
      </c>
    </row>
    <row r="12" spans="2:46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U12">
        <v>0.71199999999999997</v>
      </c>
      <c r="AH12" s="1"/>
      <c r="AK12" s="25" t="s">
        <v>79</v>
      </c>
      <c r="AL12" s="26" t="s">
        <v>80</v>
      </c>
      <c r="AM12" s="26"/>
      <c r="AN12" s="27"/>
    </row>
    <row r="13" spans="2:46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U13" s="129" t="s">
        <v>148</v>
      </c>
      <c r="AG13" s="1"/>
      <c r="AH13" s="13"/>
      <c r="AI13" s="13"/>
      <c r="AK13" s="33">
        <v>0</v>
      </c>
      <c r="AL13" s="34">
        <v>0</v>
      </c>
      <c r="AM13" s="31"/>
      <c r="AN13" s="13"/>
      <c r="AP13">
        <v>-10</v>
      </c>
      <c r="AQ13" s="13">
        <f>IF(AP13&lt;$C$13,0,(AP13-$C$13)*$C$14)</f>
        <v>0</v>
      </c>
      <c r="AS13" s="13"/>
      <c r="AT13" s="13"/>
    </row>
    <row r="14" spans="2:46" x14ac:dyDescent="0.25">
      <c r="B14" s="23" t="s">
        <v>84</v>
      </c>
      <c r="C14" s="60">
        <v>0</v>
      </c>
      <c r="D14" t="s">
        <v>85</v>
      </c>
      <c r="L14" s="24"/>
      <c r="N14" s="29">
        <v>0</v>
      </c>
      <c r="O14" s="30">
        <v>0</v>
      </c>
      <c r="P14" s="31">
        <f t="shared" ref="P14:P64" si="12">N14*$O$10</f>
        <v>0</v>
      </c>
      <c r="Q14" s="13">
        <f t="shared" ref="Q14:Q64" si="13">O14/($O$10)</f>
        <v>0</v>
      </c>
      <c r="S14" s="32">
        <v>0</v>
      </c>
      <c r="T14" s="32">
        <v>0</v>
      </c>
      <c r="U14">
        <f>T14/$O$10*$U$12</f>
        <v>0</v>
      </c>
      <c r="AG14" s="13"/>
      <c r="AH14" s="13"/>
      <c r="AI14" s="13"/>
      <c r="AK14" s="33">
        <v>1</v>
      </c>
      <c r="AL14" s="34">
        <v>0</v>
      </c>
      <c r="AM14" s="31"/>
      <c r="AN14" s="13"/>
      <c r="AP14">
        <v>-9</v>
      </c>
      <c r="AQ14" s="13">
        <f t="shared" ref="AQ14:AQ53" si="14">IF(AP14&lt;$C$13,0,(AP14-$C$13)*$C$14)</f>
        <v>0</v>
      </c>
      <c r="AS14" s="13"/>
      <c r="AT14" s="13"/>
    </row>
    <row r="15" spans="2:46" x14ac:dyDescent="0.25">
      <c r="B15" s="35"/>
      <c r="L15" s="24"/>
      <c r="N15" s="29">
        <v>1</v>
      </c>
      <c r="O15" s="30">
        <v>6.2281883690654765E-20</v>
      </c>
      <c r="P15" s="31">
        <f t="shared" si="12"/>
        <v>0.9</v>
      </c>
      <c r="Q15" s="13">
        <f t="shared" si="13"/>
        <v>6.92020929896164E-20</v>
      </c>
      <c r="S15" s="32">
        <v>1</v>
      </c>
      <c r="T15" s="32">
        <v>0</v>
      </c>
      <c r="U15">
        <f t="shared" ref="U15:U52" si="15">T15/$O$10*$U$12</f>
        <v>0</v>
      </c>
      <c r="AG15" s="13"/>
      <c r="AH15" s="13"/>
      <c r="AI15" s="13"/>
      <c r="AK15" s="33">
        <v>2</v>
      </c>
      <c r="AL15" s="34">
        <v>0</v>
      </c>
      <c r="AM15" s="31"/>
      <c r="AN15" s="13"/>
      <c r="AP15">
        <v>-8</v>
      </c>
      <c r="AQ15" s="13">
        <f t="shared" si="14"/>
        <v>0</v>
      </c>
      <c r="AS15" s="13"/>
      <c r="AT15" s="13"/>
    </row>
    <row r="16" spans="2:46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1.1786149408659757E-15</v>
      </c>
      <c r="P16" s="31">
        <f t="shared" si="12"/>
        <v>1.8</v>
      </c>
      <c r="Q16" s="13">
        <f t="shared" si="13"/>
        <v>1.3095721565177507E-15</v>
      </c>
      <c r="S16" s="32">
        <v>2</v>
      </c>
      <c r="T16" s="32">
        <v>0</v>
      </c>
      <c r="U16">
        <f t="shared" si="15"/>
        <v>0</v>
      </c>
      <c r="AG16" s="13"/>
      <c r="AH16" s="13"/>
      <c r="AI16" s="13"/>
      <c r="AK16" s="33">
        <v>3</v>
      </c>
      <c r="AL16" s="34">
        <v>0</v>
      </c>
      <c r="AM16" s="31"/>
      <c r="AN16" s="13"/>
      <c r="AP16">
        <v>-7</v>
      </c>
      <c r="AQ16" s="13">
        <f t="shared" si="14"/>
        <v>0</v>
      </c>
      <c r="AS16" s="13"/>
      <c r="AT16" s="13"/>
    </row>
    <row r="17" spans="2:46" x14ac:dyDescent="0.25">
      <c r="B17" s="35">
        <v>0</v>
      </c>
      <c r="C17" t="s">
        <v>95</v>
      </c>
      <c r="G17" s="36">
        <v>31</v>
      </c>
      <c r="H17">
        <v>0</v>
      </c>
      <c r="I17">
        <v>0</v>
      </c>
      <c r="J17">
        <f>G17</f>
        <v>31</v>
      </c>
      <c r="K17">
        <v>0</v>
      </c>
      <c r="L17" s="24"/>
      <c r="N17" s="29">
        <v>3</v>
      </c>
      <c r="O17" s="30">
        <v>3.7433680230374543E-13</v>
      </c>
      <c r="P17" s="31">
        <f t="shared" si="12"/>
        <v>2.7</v>
      </c>
      <c r="Q17" s="13">
        <f t="shared" si="13"/>
        <v>4.1592978033749493E-13</v>
      </c>
      <c r="S17" s="32">
        <v>3</v>
      </c>
      <c r="T17" s="32">
        <v>0</v>
      </c>
      <c r="U17">
        <f t="shared" si="15"/>
        <v>0</v>
      </c>
      <c r="AG17" s="13"/>
      <c r="AH17" s="13"/>
      <c r="AI17" s="13"/>
      <c r="AK17" s="33">
        <v>4</v>
      </c>
      <c r="AL17" s="34">
        <v>0</v>
      </c>
      <c r="AM17" s="31"/>
      <c r="AN17" s="13"/>
      <c r="AP17">
        <v>-6</v>
      </c>
      <c r="AQ17" s="13">
        <f t="shared" si="14"/>
        <v>0</v>
      </c>
      <c r="AS17" s="13"/>
      <c r="AT17" s="13"/>
    </row>
    <row r="18" spans="2:46" x14ac:dyDescent="0.25">
      <c r="B18" s="35">
        <v>1</v>
      </c>
      <c r="C18" s="37" t="str">
        <f>B6</f>
        <v>18 0029</v>
      </c>
      <c r="D18" s="36">
        <v>10</v>
      </c>
      <c r="E18" s="36">
        <v>1</v>
      </c>
      <c r="F18" s="38">
        <v>0.3</v>
      </c>
      <c r="G18" s="14">
        <f>F18*D18</f>
        <v>3</v>
      </c>
      <c r="H18" s="39">
        <f>AF6*F18*E18</f>
        <v>1997.9999999999995</v>
      </c>
      <c r="I18" s="13">
        <f>H18/G18</f>
        <v>665.99999999999989</v>
      </c>
      <c r="J18" s="40">
        <f>G6*D18+((E18-1)*D18*E6)</f>
        <v>31</v>
      </c>
      <c r="K18" s="31">
        <f>J18-G18</f>
        <v>28</v>
      </c>
      <c r="L18" s="24"/>
      <c r="N18" s="29">
        <v>4</v>
      </c>
      <c r="O18" s="30">
        <v>2.230396861039293E-11</v>
      </c>
      <c r="P18" s="31">
        <f t="shared" si="12"/>
        <v>3.6</v>
      </c>
      <c r="Q18" s="13">
        <f t="shared" si="13"/>
        <v>2.4782187344881033E-11</v>
      </c>
      <c r="S18" s="32">
        <v>4</v>
      </c>
      <c r="T18" s="32">
        <v>0</v>
      </c>
      <c r="U18">
        <f t="shared" si="15"/>
        <v>0</v>
      </c>
      <c r="AG18" s="13"/>
      <c r="AH18" s="13"/>
      <c r="AI18" s="13"/>
      <c r="AK18" s="33">
        <v>5</v>
      </c>
      <c r="AL18" s="34">
        <v>0</v>
      </c>
      <c r="AM18" s="31"/>
      <c r="AN18" s="13"/>
      <c r="AP18">
        <v>-5</v>
      </c>
      <c r="AQ18" s="13">
        <f t="shared" si="14"/>
        <v>0</v>
      </c>
      <c r="AS18" s="13"/>
      <c r="AT18" s="13"/>
    </row>
    <row r="19" spans="2:46" x14ac:dyDescent="0.25">
      <c r="B19" s="35">
        <v>2</v>
      </c>
      <c r="C19" s="37" t="str">
        <f>B6</f>
        <v>18 0029</v>
      </c>
      <c r="D19" s="36">
        <v>6</v>
      </c>
      <c r="E19" s="36">
        <v>2</v>
      </c>
      <c r="F19" s="38">
        <v>0.55000000000000004</v>
      </c>
      <c r="G19" s="14">
        <f>F19*D19</f>
        <v>3.3000000000000003</v>
      </c>
      <c r="H19" s="39">
        <f>AF6*F19*E19</f>
        <v>7326</v>
      </c>
      <c r="I19" s="13">
        <f>H19/G19</f>
        <v>2220</v>
      </c>
      <c r="J19" s="40">
        <f>G6*D19+((E19-1)*D19*E6)</f>
        <v>30.6</v>
      </c>
      <c r="K19" s="31">
        <f>J19-G19</f>
        <v>27.3</v>
      </c>
      <c r="L19" s="24"/>
      <c r="N19" s="29">
        <v>5</v>
      </c>
      <c r="O19" s="30">
        <v>5.3121691048452139E-10</v>
      </c>
      <c r="P19" s="31">
        <f t="shared" si="12"/>
        <v>4.5</v>
      </c>
      <c r="Q19" s="13">
        <f t="shared" si="13"/>
        <v>5.9024101164946822E-10</v>
      </c>
      <c r="S19" s="32">
        <v>5</v>
      </c>
      <c r="T19" s="32">
        <v>0</v>
      </c>
      <c r="U19">
        <f t="shared" si="15"/>
        <v>0</v>
      </c>
      <c r="AG19" s="13"/>
      <c r="AH19" s="13"/>
      <c r="AI19" s="13"/>
      <c r="AK19" s="33">
        <v>6</v>
      </c>
      <c r="AL19" s="34">
        <v>0</v>
      </c>
      <c r="AM19" s="31"/>
      <c r="AN19" s="13"/>
      <c r="AP19">
        <v>-4</v>
      </c>
      <c r="AQ19" s="13">
        <f t="shared" si="14"/>
        <v>0</v>
      </c>
      <c r="AS19" s="13"/>
      <c r="AT19" s="13"/>
    </row>
    <row r="20" spans="2:46" x14ac:dyDescent="0.25">
      <c r="B20" s="35"/>
      <c r="L20" s="24"/>
      <c r="N20" s="29">
        <v>6</v>
      </c>
      <c r="O20" s="30">
        <v>7.0839050132548781E-9</v>
      </c>
      <c r="P20" s="31">
        <f t="shared" si="12"/>
        <v>5.4</v>
      </c>
      <c r="Q20" s="13">
        <f t="shared" si="13"/>
        <v>7.8710055702831973E-9</v>
      </c>
      <c r="S20" s="32">
        <v>6</v>
      </c>
      <c r="T20" s="32">
        <v>0</v>
      </c>
      <c r="U20">
        <f t="shared" si="15"/>
        <v>0</v>
      </c>
      <c r="AG20" s="13"/>
      <c r="AH20" s="13"/>
      <c r="AI20" s="13"/>
      <c r="AK20" s="33">
        <v>7</v>
      </c>
      <c r="AL20" s="34">
        <v>0</v>
      </c>
      <c r="AM20" s="31"/>
      <c r="AN20" s="13"/>
      <c r="AP20">
        <v>-3</v>
      </c>
      <c r="AQ20" s="13">
        <f t="shared" si="14"/>
        <v>0</v>
      </c>
      <c r="AS20" s="13"/>
      <c r="AT20" s="13"/>
    </row>
    <row r="21" spans="2:46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92.6</v>
      </c>
      <c r="K21" s="43">
        <f>SUM(K17:K19)</f>
        <v>55.3</v>
      </c>
      <c r="L21" s="24"/>
      <c r="N21" s="29">
        <v>7</v>
      </c>
      <c r="O21" s="30">
        <v>6.330636600796824E-8</v>
      </c>
      <c r="P21" s="31">
        <f t="shared" si="12"/>
        <v>6.3</v>
      </c>
      <c r="Q21" s="13">
        <f t="shared" si="13"/>
        <v>7.034040667552026E-8</v>
      </c>
      <c r="S21" s="32">
        <v>7</v>
      </c>
      <c r="T21" s="32">
        <v>0</v>
      </c>
      <c r="U21">
        <f t="shared" si="15"/>
        <v>0</v>
      </c>
      <c r="AG21" s="13"/>
      <c r="AH21" s="13"/>
      <c r="AI21" s="13"/>
      <c r="AK21" s="33">
        <v>8</v>
      </c>
      <c r="AL21" s="34">
        <v>0</v>
      </c>
      <c r="AM21" s="31"/>
      <c r="AN21" s="13"/>
      <c r="AP21">
        <v>-2</v>
      </c>
      <c r="AQ21" s="13">
        <f t="shared" si="14"/>
        <v>0</v>
      </c>
      <c r="AS21" s="13"/>
      <c r="AT21" s="13"/>
    </row>
    <row r="22" spans="2:46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4.2207764259961282E-7</v>
      </c>
      <c r="P22" s="31">
        <f t="shared" si="12"/>
        <v>7.2</v>
      </c>
      <c r="Q22" s="13">
        <f t="shared" si="13"/>
        <v>4.6897515844401421E-7</v>
      </c>
      <c r="S22" s="32">
        <v>8</v>
      </c>
      <c r="T22" s="32">
        <v>0</v>
      </c>
      <c r="U22">
        <f t="shared" si="15"/>
        <v>0</v>
      </c>
      <c r="AG22" s="13"/>
      <c r="AH22" s="13"/>
      <c r="AI22" s="13"/>
      <c r="AK22" s="33">
        <v>9</v>
      </c>
      <c r="AL22" s="34">
        <v>0</v>
      </c>
      <c r="AM22" s="31"/>
      <c r="AN22" s="13"/>
      <c r="AP22">
        <v>-1</v>
      </c>
      <c r="AQ22" s="13">
        <f t="shared" si="14"/>
        <v>0</v>
      </c>
      <c r="AS22" s="13"/>
      <c r="AT22" s="13"/>
    </row>
    <row r="23" spans="2:46" x14ac:dyDescent="0.25">
      <c r="B23" s="35" t="s">
        <v>101</v>
      </c>
      <c r="C23">
        <v>0</v>
      </c>
      <c r="F23">
        <f>G17</f>
        <v>31</v>
      </c>
      <c r="G23" s="13">
        <f>C23+(F23-$C$13)*($C$14)</f>
        <v>0</v>
      </c>
      <c r="H23" s="50" t="s">
        <v>104</v>
      </c>
      <c r="J23" s="31"/>
      <c r="L23" s="24"/>
      <c r="N23" s="29">
        <v>9</v>
      </c>
      <c r="O23" s="30">
        <v>2.2499005048561051E-6</v>
      </c>
      <c r="P23" s="31">
        <f t="shared" si="12"/>
        <v>8.1</v>
      </c>
      <c r="Q23" s="13">
        <f t="shared" si="13"/>
        <v>2.4998894498401166E-6</v>
      </c>
      <c r="S23" s="32">
        <v>9</v>
      </c>
      <c r="T23" s="32">
        <v>0</v>
      </c>
      <c r="U23">
        <f t="shared" si="15"/>
        <v>0</v>
      </c>
      <c r="AG23" s="13"/>
      <c r="AH23" s="13"/>
      <c r="AI23" s="13"/>
      <c r="AK23" s="33">
        <v>10</v>
      </c>
      <c r="AL23" s="34">
        <v>0</v>
      </c>
      <c r="AM23" s="31"/>
      <c r="AN23" s="13"/>
      <c r="AP23">
        <v>0</v>
      </c>
      <c r="AQ23" s="13">
        <f t="shared" si="14"/>
        <v>0</v>
      </c>
      <c r="AS23" s="13"/>
      <c r="AT23" s="13"/>
    </row>
    <row r="24" spans="2:46" x14ac:dyDescent="0.25">
      <c r="B24" s="35">
        <v>1</v>
      </c>
      <c r="C24" s="13">
        <f>H18</f>
        <v>1997.9999999999995</v>
      </c>
      <c r="D24" s="13">
        <f>I18*I19/(I18+I19)</f>
        <v>512.30769230769226</v>
      </c>
      <c r="E24" s="31">
        <f>C24/D24</f>
        <v>3.8999999999999995</v>
      </c>
      <c r="F24" s="31">
        <f>F23+E24</f>
        <v>34.9</v>
      </c>
      <c r="G24" s="13">
        <f>C24+(F24-$C$13)*($C$14)</f>
        <v>1997.9999999999995</v>
      </c>
      <c r="H24" s="51" t="s">
        <v>105</v>
      </c>
      <c r="L24" s="24"/>
      <c r="N24" s="29">
        <v>10</v>
      </c>
      <c r="O24" s="30">
        <v>1.0052685475080892E-5</v>
      </c>
      <c r="P24" s="31">
        <f t="shared" si="12"/>
        <v>9</v>
      </c>
      <c r="Q24" s="13">
        <f t="shared" si="13"/>
        <v>1.1169650527867657E-5</v>
      </c>
      <c r="S24" s="32">
        <v>10</v>
      </c>
      <c r="T24" s="32">
        <v>0</v>
      </c>
      <c r="U24">
        <f t="shared" si="15"/>
        <v>0</v>
      </c>
      <c r="AG24" s="13"/>
      <c r="AH24" s="13"/>
      <c r="AI24" s="13"/>
      <c r="AK24" s="33">
        <v>11</v>
      </c>
      <c r="AL24" s="34">
        <v>0</v>
      </c>
      <c r="AM24" s="31"/>
      <c r="AN24" s="13"/>
      <c r="AP24">
        <v>1</v>
      </c>
      <c r="AQ24" s="13">
        <f t="shared" si="14"/>
        <v>0</v>
      </c>
      <c r="AS24" s="13"/>
      <c r="AT24" s="13"/>
    </row>
    <row r="25" spans="2:46" x14ac:dyDescent="0.25">
      <c r="B25" s="35">
        <v>2</v>
      </c>
      <c r="C25" s="13">
        <f>H19</f>
        <v>7326</v>
      </c>
      <c r="D25" s="13">
        <f>I19</f>
        <v>2220</v>
      </c>
      <c r="E25" s="31">
        <f>(C25-C24)/D25</f>
        <v>2.4</v>
      </c>
      <c r="F25" s="31">
        <f>F24+E25</f>
        <v>37.299999999999997</v>
      </c>
      <c r="G25" s="13">
        <f>C25+(F25-$C$13)*($C$14)</f>
        <v>7326</v>
      </c>
      <c r="H25" s="51" t="s">
        <v>106</v>
      </c>
      <c r="L25" s="24"/>
      <c r="N25" s="29">
        <v>11</v>
      </c>
      <c r="O25" s="30">
        <v>3.8939114282810423E-5</v>
      </c>
      <c r="P25" s="31">
        <f t="shared" si="12"/>
        <v>9.9</v>
      </c>
      <c r="Q25" s="13">
        <f t="shared" si="13"/>
        <v>4.3265682536456024E-5</v>
      </c>
      <c r="S25" s="32">
        <v>11</v>
      </c>
      <c r="T25" s="32">
        <v>0</v>
      </c>
      <c r="U25">
        <f t="shared" si="15"/>
        <v>0</v>
      </c>
      <c r="AG25" s="13"/>
      <c r="AH25" s="13"/>
      <c r="AI25" s="13"/>
      <c r="AK25" s="33">
        <v>12</v>
      </c>
      <c r="AL25" s="34">
        <v>0</v>
      </c>
      <c r="AM25" s="31"/>
      <c r="AN25" s="13"/>
      <c r="AP25">
        <v>2</v>
      </c>
      <c r="AQ25" s="13">
        <f t="shared" si="14"/>
        <v>0</v>
      </c>
      <c r="AS25" s="13"/>
      <c r="AT25" s="13"/>
    </row>
    <row r="26" spans="2:46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1.3405497383102416E-4</v>
      </c>
      <c r="P26" s="31">
        <f t="shared" si="12"/>
        <v>10.8</v>
      </c>
      <c r="Q26" s="13">
        <f t="shared" si="13"/>
        <v>1.4894997092336018E-4</v>
      </c>
      <c r="S26" s="32">
        <v>12</v>
      </c>
      <c r="T26" s="32">
        <v>0</v>
      </c>
      <c r="U26">
        <f t="shared" si="15"/>
        <v>0</v>
      </c>
      <c r="AG26" s="13"/>
      <c r="AH26" s="13"/>
      <c r="AI26" s="13"/>
      <c r="AK26" s="33">
        <v>13</v>
      </c>
      <c r="AL26" s="34">
        <v>0</v>
      </c>
      <c r="AM26" s="31"/>
      <c r="AN26" s="13"/>
      <c r="AP26">
        <v>3</v>
      </c>
      <c r="AQ26" s="13">
        <f t="shared" si="14"/>
        <v>0</v>
      </c>
      <c r="AS26" s="13"/>
      <c r="AT26" s="13"/>
    </row>
    <row r="27" spans="2:46" x14ac:dyDescent="0.25">
      <c r="N27" s="29">
        <v>13</v>
      </c>
      <c r="O27" s="30">
        <v>4.1800374171639736E-4</v>
      </c>
      <c r="P27" s="31">
        <f t="shared" si="12"/>
        <v>11.700000000000001</v>
      </c>
      <c r="Q27" s="13">
        <f t="shared" si="13"/>
        <v>4.6444860190710815E-4</v>
      </c>
      <c r="S27" s="32">
        <v>13</v>
      </c>
      <c r="T27" s="32">
        <v>0</v>
      </c>
      <c r="U27">
        <f t="shared" si="15"/>
        <v>0</v>
      </c>
      <c r="AG27" s="13"/>
      <c r="AH27" s="13"/>
      <c r="AI27" s="13"/>
      <c r="AK27" s="33">
        <v>14</v>
      </c>
      <c r="AL27" s="34">
        <v>0</v>
      </c>
      <c r="AM27" s="31"/>
      <c r="AN27" s="13"/>
      <c r="AP27">
        <v>4</v>
      </c>
      <c r="AQ27" s="13">
        <f t="shared" si="14"/>
        <v>0</v>
      </c>
      <c r="AS27" s="13"/>
      <c r="AT27" s="13"/>
    </row>
    <row r="28" spans="2:46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1.1980021220860556E-3</v>
      </c>
      <c r="P28" s="31">
        <f t="shared" si="12"/>
        <v>12.6</v>
      </c>
      <c r="Q28" s="13">
        <f t="shared" si="13"/>
        <v>1.331113468984506E-3</v>
      </c>
      <c r="S28" s="32">
        <v>14</v>
      </c>
      <c r="T28" s="32">
        <v>0</v>
      </c>
      <c r="U28">
        <f t="shared" si="15"/>
        <v>0</v>
      </c>
      <c r="AG28" s="13"/>
      <c r="AH28" s="13"/>
      <c r="AI28" s="13"/>
      <c r="AK28" s="33">
        <v>15</v>
      </c>
      <c r="AL28" s="34">
        <v>0</v>
      </c>
      <c r="AM28" s="31"/>
      <c r="AN28" s="13"/>
      <c r="AP28">
        <v>5</v>
      </c>
      <c r="AQ28" s="13">
        <f t="shared" si="14"/>
        <v>0</v>
      </c>
      <c r="AS28" s="13"/>
      <c r="AT28" s="13"/>
    </row>
    <row r="29" spans="2:46" x14ac:dyDescent="0.25">
      <c r="B29" s="23" t="s">
        <v>107</v>
      </c>
      <c r="L29" s="24"/>
      <c r="N29" s="29">
        <v>15</v>
      </c>
      <c r="O29" s="30">
        <v>3.1928070863773282E-3</v>
      </c>
      <c r="P29" s="31">
        <f t="shared" si="12"/>
        <v>13.5</v>
      </c>
      <c r="Q29" s="13">
        <f t="shared" si="13"/>
        <v>3.5475634293081425E-3</v>
      </c>
      <c r="S29" s="32">
        <v>15</v>
      </c>
      <c r="T29" s="32">
        <v>0</v>
      </c>
      <c r="U29">
        <f t="shared" si="15"/>
        <v>0</v>
      </c>
      <c r="AG29" s="13"/>
      <c r="AH29" s="13"/>
      <c r="AI29" s="13"/>
      <c r="AK29" s="33">
        <v>16</v>
      </c>
      <c r="AL29" s="34">
        <v>0</v>
      </c>
      <c r="AM29" s="31"/>
      <c r="AN29" s="13"/>
      <c r="AP29">
        <v>6</v>
      </c>
      <c r="AQ29" s="13">
        <f t="shared" si="14"/>
        <v>0</v>
      </c>
      <c r="AS29" s="13"/>
      <c r="AT29" s="13"/>
    </row>
    <row r="30" spans="2:46" x14ac:dyDescent="0.25">
      <c r="B30" s="23" t="s">
        <v>121</v>
      </c>
      <c r="L30" s="24"/>
      <c r="N30" s="29">
        <v>16</v>
      </c>
      <c r="O30" s="30">
        <v>7.9873469826995096E-3</v>
      </c>
      <c r="P30" s="31">
        <f t="shared" si="12"/>
        <v>14.4</v>
      </c>
      <c r="Q30" s="13">
        <f t="shared" si="13"/>
        <v>8.8748299807772327E-3</v>
      </c>
      <c r="S30" s="32">
        <v>16</v>
      </c>
      <c r="T30" s="32">
        <v>0</v>
      </c>
      <c r="U30">
        <f t="shared" si="15"/>
        <v>0</v>
      </c>
      <c r="AG30" s="13"/>
      <c r="AH30" s="13"/>
      <c r="AI30" s="13"/>
      <c r="AK30" s="33">
        <v>17</v>
      </c>
      <c r="AL30" s="34">
        <v>0</v>
      </c>
      <c r="AM30" s="31"/>
      <c r="AN30" s="13"/>
      <c r="AP30">
        <v>7</v>
      </c>
      <c r="AQ30" s="13">
        <f t="shared" si="14"/>
        <v>0</v>
      </c>
      <c r="AS30" s="13"/>
      <c r="AT30" s="13"/>
    </row>
    <row r="31" spans="2:46" x14ac:dyDescent="0.25">
      <c r="B31" s="23" t="s">
        <v>108</v>
      </c>
      <c r="L31" s="24"/>
      <c r="N31" s="29">
        <v>17</v>
      </c>
      <c r="O31" s="30">
        <v>1.8900879602136142E-2</v>
      </c>
      <c r="P31" s="31">
        <f t="shared" si="12"/>
        <v>15.3</v>
      </c>
      <c r="Q31" s="13">
        <f t="shared" si="13"/>
        <v>2.1000977335706824E-2</v>
      </c>
      <c r="S31" s="32">
        <v>17</v>
      </c>
      <c r="T31" s="32">
        <v>0</v>
      </c>
      <c r="U31">
        <f t="shared" si="15"/>
        <v>0</v>
      </c>
      <c r="AG31" s="13"/>
      <c r="AH31" s="13"/>
      <c r="AI31" s="13"/>
      <c r="AK31" s="33">
        <v>18</v>
      </c>
      <c r="AL31" s="34">
        <v>0</v>
      </c>
      <c r="AM31" s="31"/>
      <c r="AN31" s="13"/>
      <c r="AP31">
        <v>8</v>
      </c>
      <c r="AQ31" s="13">
        <f t="shared" si="14"/>
        <v>0</v>
      </c>
      <c r="AS31" s="13"/>
      <c r="AT31" s="13"/>
    </row>
    <row r="32" spans="2:46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4.2576848890060102E-2</v>
      </c>
      <c r="P32" s="31">
        <f t="shared" si="12"/>
        <v>16.2</v>
      </c>
      <c r="Q32" s="13">
        <f t="shared" si="13"/>
        <v>4.7307609877844554E-2</v>
      </c>
      <c r="S32" s="32">
        <v>18</v>
      </c>
      <c r="T32" s="32">
        <v>0</v>
      </c>
      <c r="U32">
        <f t="shared" si="15"/>
        <v>0</v>
      </c>
      <c r="AG32" s="13"/>
      <c r="AH32" s="13"/>
      <c r="AI32" s="13"/>
      <c r="AK32" s="33">
        <v>19</v>
      </c>
      <c r="AL32" s="34">
        <v>0</v>
      </c>
      <c r="AM32" s="31"/>
      <c r="AN32" s="13"/>
      <c r="AP32">
        <v>9</v>
      </c>
      <c r="AQ32" s="13">
        <f t="shared" si="14"/>
        <v>0</v>
      </c>
      <c r="AS32" s="13"/>
      <c r="AT32" s="13"/>
    </row>
    <row r="33" spans="2:46" x14ac:dyDescent="0.25">
      <c r="B33" s="35"/>
      <c r="G33" s="36"/>
      <c r="L33" s="24"/>
      <c r="N33" s="29">
        <v>19</v>
      </c>
      <c r="O33" s="30">
        <v>9.1789088225945351E-2</v>
      </c>
      <c r="P33" s="31">
        <f t="shared" si="12"/>
        <v>17.100000000000001</v>
      </c>
      <c r="Q33" s="13">
        <f t="shared" si="13"/>
        <v>0.10198787580660594</v>
      </c>
      <c r="S33" s="32">
        <v>19</v>
      </c>
      <c r="T33" s="32">
        <v>0</v>
      </c>
      <c r="U33">
        <f t="shared" si="15"/>
        <v>0</v>
      </c>
      <c r="AG33" s="13"/>
      <c r="AH33" s="13"/>
      <c r="AI33" s="13"/>
      <c r="AK33" s="33">
        <v>20</v>
      </c>
      <c r="AL33" s="34">
        <v>0</v>
      </c>
      <c r="AM33" s="31"/>
      <c r="AN33" s="13"/>
      <c r="AP33">
        <v>10</v>
      </c>
      <c r="AQ33" s="13">
        <f t="shared" si="14"/>
        <v>0</v>
      </c>
      <c r="AS33" s="13"/>
      <c r="AT33" s="13"/>
    </row>
    <row r="34" spans="2:46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0.19023582131210451</v>
      </c>
      <c r="P34" s="31">
        <f t="shared" si="12"/>
        <v>18</v>
      </c>
      <c r="Q34" s="13">
        <f t="shared" si="13"/>
        <v>0.21137313479122721</v>
      </c>
      <c r="S34" s="32">
        <v>20</v>
      </c>
      <c r="T34" s="32">
        <v>0</v>
      </c>
      <c r="U34">
        <f t="shared" si="15"/>
        <v>0</v>
      </c>
      <c r="AG34" s="13"/>
      <c r="AH34" s="13"/>
      <c r="AI34" s="13"/>
      <c r="AK34" s="33">
        <v>21</v>
      </c>
      <c r="AL34" s="34">
        <v>0</v>
      </c>
      <c r="AM34" s="31"/>
      <c r="AN34" s="13"/>
      <c r="AP34">
        <v>11</v>
      </c>
      <c r="AQ34" s="13">
        <f t="shared" si="14"/>
        <v>0</v>
      </c>
      <c r="AS34" s="13"/>
      <c r="AT34" s="13"/>
    </row>
    <row r="35" spans="2:46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>
        <v>0.38049431411865153</v>
      </c>
      <c r="P35" s="31">
        <f t="shared" si="12"/>
        <v>18.900000000000002</v>
      </c>
      <c r="Q35" s="13">
        <f t="shared" si="13"/>
        <v>0.42277146013183503</v>
      </c>
      <c r="S35" s="32">
        <v>21</v>
      </c>
      <c r="T35" s="32">
        <v>0</v>
      </c>
      <c r="U35">
        <f t="shared" si="15"/>
        <v>0</v>
      </c>
      <c r="AG35" s="13"/>
      <c r="AH35" s="13"/>
      <c r="AI35" s="13"/>
      <c r="AK35" s="33">
        <v>22</v>
      </c>
      <c r="AL35" s="34">
        <v>0</v>
      </c>
      <c r="AM35" s="31"/>
      <c r="AN35" s="13"/>
      <c r="AP35">
        <v>12</v>
      </c>
      <c r="AQ35" s="13">
        <f t="shared" si="14"/>
        <v>0</v>
      </c>
      <c r="AS35" s="13"/>
      <c r="AT35" s="13"/>
    </row>
    <row r="36" spans="2:46" x14ac:dyDescent="0.25">
      <c r="B36" s="35"/>
      <c r="L36" s="24"/>
      <c r="N36" s="29">
        <v>22</v>
      </c>
      <c r="O36" s="30">
        <v>0.73687915583539987</v>
      </c>
      <c r="P36" s="31">
        <f t="shared" si="12"/>
        <v>19.8</v>
      </c>
      <c r="Q36" s="13">
        <f t="shared" si="13"/>
        <v>0.81875461759488877</v>
      </c>
      <c r="S36" s="32">
        <v>22</v>
      </c>
      <c r="T36" s="32">
        <v>0</v>
      </c>
      <c r="U36">
        <f t="shared" si="15"/>
        <v>0</v>
      </c>
      <c r="AG36" s="13"/>
      <c r="AH36" s="13"/>
      <c r="AI36" s="13"/>
      <c r="AK36" s="33">
        <v>23</v>
      </c>
      <c r="AL36" s="34">
        <v>0</v>
      </c>
      <c r="AM36" s="31"/>
      <c r="AN36" s="13"/>
      <c r="AP36">
        <v>13</v>
      </c>
      <c r="AQ36" s="13">
        <f t="shared" si="14"/>
        <v>0</v>
      </c>
      <c r="AS36" s="13"/>
      <c r="AT36" s="13"/>
    </row>
    <row r="37" spans="2:46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>
        <v>1.3857419973956164</v>
      </c>
      <c r="P37" s="31">
        <f t="shared" si="12"/>
        <v>20.7</v>
      </c>
      <c r="Q37" s="13">
        <f t="shared" si="13"/>
        <v>1.5397133304395738</v>
      </c>
      <c r="S37" s="32">
        <v>23</v>
      </c>
      <c r="T37" s="32">
        <v>0</v>
      </c>
      <c r="U37">
        <f t="shared" si="15"/>
        <v>0</v>
      </c>
      <c r="AG37" s="13"/>
      <c r="AH37" s="13"/>
      <c r="AI37" s="13"/>
      <c r="AK37" s="33">
        <v>24</v>
      </c>
      <c r="AL37" s="34">
        <v>0</v>
      </c>
      <c r="AM37" s="31"/>
      <c r="AN37" s="13"/>
      <c r="AP37">
        <v>14</v>
      </c>
      <c r="AQ37" s="13">
        <f t="shared" si="14"/>
        <v>0</v>
      </c>
      <c r="AS37" s="13"/>
      <c r="AT37" s="13"/>
    </row>
    <row r="38" spans="2:46" x14ac:dyDescent="0.25">
      <c r="B38" s="35"/>
      <c r="G38" s="13"/>
      <c r="L38" s="24"/>
      <c r="N38" s="29">
        <v>24</v>
      </c>
      <c r="O38" s="30">
        <v>2.5368403409152251</v>
      </c>
      <c r="P38" s="31">
        <f t="shared" si="12"/>
        <v>21.6</v>
      </c>
      <c r="Q38" s="13">
        <f t="shared" si="13"/>
        <v>2.8187114899058057</v>
      </c>
      <c r="S38" s="32">
        <v>24</v>
      </c>
      <c r="T38" s="32">
        <v>0</v>
      </c>
      <c r="U38">
        <f t="shared" si="15"/>
        <v>0</v>
      </c>
      <c r="AG38" s="13"/>
      <c r="AH38" s="13"/>
      <c r="AI38" s="13"/>
      <c r="AK38" s="33">
        <v>25</v>
      </c>
      <c r="AL38" s="34">
        <v>0</v>
      </c>
      <c r="AM38" s="31"/>
      <c r="AN38" s="13"/>
      <c r="AP38">
        <v>15</v>
      </c>
      <c r="AQ38" s="13">
        <f t="shared" si="14"/>
        <v>0</v>
      </c>
      <c r="AS38" s="13"/>
      <c r="AT38" s="13"/>
    </row>
    <row r="39" spans="2:46" x14ac:dyDescent="0.25">
      <c r="B39" s="35"/>
      <c r="G39" s="13"/>
      <c r="J39" s="31"/>
      <c r="L39" s="24"/>
      <c r="N39" s="29">
        <v>25</v>
      </c>
      <c r="O39" s="30">
        <v>4.5308746181526001</v>
      </c>
      <c r="P39" s="31">
        <f t="shared" si="12"/>
        <v>22.5</v>
      </c>
      <c r="Q39" s="13">
        <f t="shared" si="13"/>
        <v>5.034305131280667</v>
      </c>
      <c r="S39" s="44">
        <v>25</v>
      </c>
      <c r="T39" s="32">
        <v>0</v>
      </c>
      <c r="U39">
        <f t="shared" si="15"/>
        <v>0</v>
      </c>
      <c r="AE39" s="13"/>
      <c r="AF39" s="13"/>
      <c r="AG39" s="13"/>
      <c r="AH39" s="13"/>
      <c r="AI39" s="13"/>
      <c r="AK39" s="33">
        <v>26</v>
      </c>
      <c r="AL39" s="34">
        <v>0</v>
      </c>
      <c r="AM39" s="31"/>
      <c r="AN39" s="13"/>
      <c r="AP39">
        <v>16</v>
      </c>
      <c r="AQ39" s="13">
        <f t="shared" si="14"/>
        <v>0</v>
      </c>
      <c r="AS39" s="13"/>
      <c r="AT39" s="13"/>
    </row>
    <row r="40" spans="2:46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>
        <v>7.9102529681316165</v>
      </c>
      <c r="P40" s="31">
        <f t="shared" si="12"/>
        <v>23.400000000000002</v>
      </c>
      <c r="Q40" s="13">
        <f t="shared" si="13"/>
        <v>8.789169964590684</v>
      </c>
      <c r="S40" s="44">
        <v>26</v>
      </c>
      <c r="T40" s="32">
        <v>0</v>
      </c>
      <c r="U40">
        <f t="shared" si="15"/>
        <v>0</v>
      </c>
      <c r="AE40" s="13"/>
      <c r="AF40" s="13"/>
      <c r="AG40" s="13"/>
      <c r="AH40" s="13"/>
      <c r="AI40" s="13"/>
      <c r="AK40" s="33">
        <v>27</v>
      </c>
      <c r="AL40" s="34">
        <v>0</v>
      </c>
      <c r="AM40" s="31"/>
      <c r="AN40" s="13"/>
      <c r="AP40">
        <v>17</v>
      </c>
      <c r="AQ40" s="13">
        <f t="shared" si="14"/>
        <v>0</v>
      </c>
      <c r="AS40" s="13"/>
      <c r="AT40" s="13"/>
    </row>
    <row r="41" spans="2:46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>
        <v>13.522721385123877</v>
      </c>
      <c r="P41" s="31">
        <f t="shared" si="12"/>
        <v>24.3</v>
      </c>
      <c r="Q41" s="13">
        <f t="shared" si="13"/>
        <v>15.025245983470974</v>
      </c>
      <c r="S41" s="44">
        <v>27</v>
      </c>
      <c r="T41" s="32">
        <v>0</v>
      </c>
      <c r="U41">
        <f t="shared" si="15"/>
        <v>0</v>
      </c>
      <c r="AE41" s="13"/>
      <c r="AF41" s="13"/>
      <c r="AG41" s="13"/>
      <c r="AH41" s="13"/>
      <c r="AI41" s="13"/>
      <c r="AK41" s="33">
        <v>28</v>
      </c>
      <c r="AL41" s="34">
        <v>0</v>
      </c>
      <c r="AM41" s="31"/>
      <c r="AN41" s="13"/>
      <c r="AP41">
        <v>18</v>
      </c>
      <c r="AQ41" s="13">
        <f t="shared" si="14"/>
        <v>0</v>
      </c>
      <c r="AS41" s="13"/>
      <c r="AT41" s="13"/>
    </row>
    <row r="42" spans="2:46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>
        <v>22.670849316197529</v>
      </c>
      <c r="P42" s="31">
        <f t="shared" si="12"/>
        <v>25.2</v>
      </c>
      <c r="Q42" s="13">
        <f t="shared" si="13"/>
        <v>25.18983257355281</v>
      </c>
      <c r="S42" s="44">
        <v>28</v>
      </c>
      <c r="T42" s="32">
        <v>0</v>
      </c>
      <c r="U42">
        <f t="shared" si="15"/>
        <v>0</v>
      </c>
      <c r="AE42" s="13"/>
      <c r="AF42" s="13"/>
      <c r="AG42" s="13"/>
      <c r="AH42" s="13"/>
      <c r="AI42" s="13"/>
      <c r="AK42" s="33">
        <v>29</v>
      </c>
      <c r="AL42" s="34">
        <v>0</v>
      </c>
      <c r="AM42" s="31"/>
      <c r="AN42" s="13"/>
      <c r="AP42">
        <v>19</v>
      </c>
      <c r="AQ42" s="13">
        <f t="shared" si="14"/>
        <v>0</v>
      </c>
      <c r="AS42" s="13"/>
      <c r="AT42" s="13"/>
    </row>
    <row r="43" spans="2:46" x14ac:dyDescent="0.25">
      <c r="N43" s="29">
        <v>29</v>
      </c>
      <c r="O43" s="30">
        <v>37.324673846805503</v>
      </c>
      <c r="P43" s="31">
        <f t="shared" si="12"/>
        <v>26.1</v>
      </c>
      <c r="Q43" s="13">
        <f t="shared" si="13"/>
        <v>41.471859829783888</v>
      </c>
      <c r="S43" s="44">
        <v>29</v>
      </c>
      <c r="T43" s="32">
        <v>0</v>
      </c>
      <c r="U43">
        <f t="shared" si="15"/>
        <v>0</v>
      </c>
      <c r="V43" s="130" t="s">
        <v>79</v>
      </c>
      <c r="AE43" s="13"/>
      <c r="AF43" s="13"/>
      <c r="AG43" s="13"/>
      <c r="AH43" s="13"/>
      <c r="AI43" s="13"/>
      <c r="AK43" s="33">
        <v>30</v>
      </c>
      <c r="AL43" s="34">
        <v>0</v>
      </c>
      <c r="AM43" s="31"/>
      <c r="AN43" s="13"/>
      <c r="AP43">
        <v>20</v>
      </c>
      <c r="AQ43" s="13">
        <f t="shared" si="14"/>
        <v>0</v>
      </c>
      <c r="AS43" s="13"/>
      <c r="AT43" s="13"/>
    </row>
    <row r="44" spans="2:46" x14ac:dyDescent="0.25">
      <c r="N44" s="29">
        <v>30</v>
      </c>
      <c r="O44" s="30">
        <v>60.420300612579858</v>
      </c>
      <c r="P44" s="31">
        <f t="shared" si="12"/>
        <v>27</v>
      </c>
      <c r="Q44" s="13">
        <f t="shared" si="13"/>
        <v>67.133667347310947</v>
      </c>
      <c r="S44" s="44">
        <v>30</v>
      </c>
      <c r="T44" s="32">
        <v>0</v>
      </c>
      <c r="U44">
        <f t="shared" si="15"/>
        <v>0</v>
      </c>
      <c r="V44">
        <v>0</v>
      </c>
      <c r="AE44" s="13"/>
      <c r="AF44" s="13"/>
      <c r="AG44" s="13"/>
      <c r="AH44" s="13"/>
      <c r="AI44" s="13"/>
      <c r="AK44" s="33"/>
      <c r="AL44" s="34"/>
      <c r="AM44" s="31"/>
      <c r="AN44" s="13"/>
      <c r="AP44">
        <v>21</v>
      </c>
      <c r="AQ44" s="13">
        <f t="shared" si="14"/>
        <v>0</v>
      </c>
    </row>
    <row r="45" spans="2:46" x14ac:dyDescent="0.25">
      <c r="N45" s="29">
        <v>31</v>
      </c>
      <c r="O45" s="30">
        <v>96.274197336431484</v>
      </c>
      <c r="P45" s="31">
        <f t="shared" si="12"/>
        <v>27.900000000000002</v>
      </c>
      <c r="Q45" s="13">
        <f t="shared" si="13"/>
        <v>106.97133037381276</v>
      </c>
      <c r="S45" s="44">
        <v>31</v>
      </c>
      <c r="T45" s="32">
        <v>345.84615384615398</v>
      </c>
      <c r="U45">
        <f t="shared" si="15"/>
        <v>273.60273504273511</v>
      </c>
      <c r="V45">
        <v>1</v>
      </c>
      <c r="AE45" s="13"/>
      <c r="AF45" s="13"/>
      <c r="AG45" s="13"/>
      <c r="AH45" s="13"/>
      <c r="AI45" s="13"/>
      <c r="AK45" s="33"/>
      <c r="AL45" s="34"/>
      <c r="AM45" s="31"/>
      <c r="AN45" s="13"/>
      <c r="AP45">
        <v>22</v>
      </c>
      <c r="AQ45" s="13">
        <f t="shared" si="14"/>
        <v>0</v>
      </c>
    </row>
    <row r="46" spans="2:46" x14ac:dyDescent="0.25">
      <c r="N46" s="29">
        <v>32</v>
      </c>
      <c r="O46" s="30">
        <v>151.15160194011588</v>
      </c>
      <c r="P46" s="31">
        <f t="shared" si="12"/>
        <v>28.8</v>
      </c>
      <c r="Q46" s="13">
        <f t="shared" si="13"/>
        <v>167.94622437790653</v>
      </c>
      <c r="S46" s="44">
        <v>32</v>
      </c>
      <c r="T46" s="32">
        <v>818.85314685314597</v>
      </c>
      <c r="U46">
        <f t="shared" si="15"/>
        <v>647.8038228438221</v>
      </c>
      <c r="V46">
        <v>2</v>
      </c>
      <c r="AE46" s="13"/>
      <c r="AF46" s="13"/>
      <c r="AG46" s="13"/>
      <c r="AH46" s="13"/>
      <c r="AI46" s="13"/>
      <c r="AK46" s="33"/>
      <c r="AL46" s="34"/>
      <c r="AM46" s="31"/>
      <c r="AN46" s="13"/>
      <c r="AP46">
        <v>23</v>
      </c>
      <c r="AQ46" s="13">
        <f t="shared" si="14"/>
        <v>0</v>
      </c>
    </row>
    <row r="47" spans="2:46" x14ac:dyDescent="0.25">
      <c r="N47" s="29">
        <v>33</v>
      </c>
      <c r="O47" s="30">
        <v>234.03825737779377</v>
      </c>
      <c r="P47" s="31">
        <f t="shared" si="12"/>
        <v>29.7</v>
      </c>
      <c r="Q47" s="13">
        <f t="shared" si="13"/>
        <v>260.04250819754861</v>
      </c>
      <c r="S47" s="44">
        <v>33</v>
      </c>
      <c r="T47" s="32">
        <v>1291.86013986014</v>
      </c>
      <c r="U47">
        <f t="shared" si="15"/>
        <v>1022.0049106449106</v>
      </c>
      <c r="V47">
        <v>3</v>
      </c>
      <c r="AE47" s="13"/>
      <c r="AF47" s="13"/>
      <c r="AG47" s="13"/>
      <c r="AH47" s="13"/>
      <c r="AI47" s="13"/>
      <c r="AK47" s="33"/>
      <c r="AL47" s="34"/>
      <c r="AM47" s="31"/>
      <c r="AN47" s="13"/>
      <c r="AP47">
        <v>24</v>
      </c>
      <c r="AQ47" s="13">
        <f t="shared" si="14"/>
        <v>0</v>
      </c>
    </row>
    <row r="48" spans="2:46" x14ac:dyDescent="0.25">
      <c r="N48" s="29">
        <v>34</v>
      </c>
      <c r="O48" s="30">
        <v>357.67799197006747</v>
      </c>
      <c r="P48" s="31">
        <f t="shared" si="12"/>
        <v>30.6</v>
      </c>
      <c r="Q48" s="13">
        <f t="shared" si="13"/>
        <v>397.41999107785273</v>
      </c>
      <c r="S48" s="44">
        <v>34</v>
      </c>
      <c r="T48" s="32">
        <v>1764.8671328671301</v>
      </c>
      <c r="U48">
        <f t="shared" si="15"/>
        <v>1396.2059984459961</v>
      </c>
      <c r="V48">
        <v>4</v>
      </c>
      <c r="AE48" s="13"/>
      <c r="AF48" s="13"/>
      <c r="AG48" s="13"/>
      <c r="AH48" s="13"/>
      <c r="AI48" s="13"/>
      <c r="AK48" s="33"/>
      <c r="AL48" s="34"/>
      <c r="AM48" s="31"/>
      <c r="AN48" s="13"/>
      <c r="AP48">
        <v>25</v>
      </c>
      <c r="AQ48" s="13">
        <f t="shared" si="14"/>
        <v>0</v>
      </c>
    </row>
    <row r="49" spans="14:43" x14ac:dyDescent="0.25">
      <c r="N49" s="29">
        <v>35</v>
      </c>
      <c r="O49" s="30">
        <v>539.95496237377506</v>
      </c>
      <c r="P49" s="31">
        <f t="shared" si="12"/>
        <v>31.5</v>
      </c>
      <c r="Q49" s="13">
        <f t="shared" si="13"/>
        <v>599.94995819308338</v>
      </c>
      <c r="S49" s="44">
        <v>35</v>
      </c>
      <c r="T49" s="32">
        <v>2611.69696969696</v>
      </c>
      <c r="U49">
        <f t="shared" si="15"/>
        <v>2066.1424915824837</v>
      </c>
      <c r="V49">
        <v>5</v>
      </c>
      <c r="AE49" s="13"/>
      <c r="AF49" s="13"/>
      <c r="AG49" s="13"/>
      <c r="AH49" s="13"/>
      <c r="AI49" s="13"/>
      <c r="AK49" s="33"/>
      <c r="AL49" s="34"/>
      <c r="AM49" s="31"/>
      <c r="AN49" s="13"/>
      <c r="AP49">
        <v>26</v>
      </c>
      <c r="AQ49" s="13">
        <f t="shared" si="14"/>
        <v>0</v>
      </c>
    </row>
    <row r="50" spans="14:43" x14ac:dyDescent="0.25">
      <c r="N50" s="29">
        <v>36</v>
      </c>
      <c r="O50" s="30">
        <v>805.71921180263257</v>
      </c>
      <c r="P50" s="31">
        <f t="shared" si="12"/>
        <v>32.4</v>
      </c>
      <c r="Q50" s="13">
        <f t="shared" si="13"/>
        <v>895.2435686695917</v>
      </c>
      <c r="S50" s="44">
        <v>36</v>
      </c>
      <c r="T50" s="32">
        <v>4661.3939393939399</v>
      </c>
      <c r="U50">
        <f t="shared" si="15"/>
        <v>3687.6805387205386</v>
      </c>
      <c r="V50">
        <v>6</v>
      </c>
      <c r="AE50" s="13"/>
      <c r="AF50" s="13"/>
      <c r="AG50" s="13"/>
      <c r="AH50" s="13"/>
      <c r="AI50" s="13"/>
      <c r="AK50" s="33"/>
      <c r="AL50" s="34"/>
      <c r="AM50" s="31"/>
      <c r="AN50" s="13"/>
      <c r="AP50">
        <v>27</v>
      </c>
      <c r="AQ50" s="13">
        <f t="shared" si="14"/>
        <v>0</v>
      </c>
    </row>
    <row r="51" spans="14:43" x14ac:dyDescent="0.25">
      <c r="N51" s="29">
        <v>37</v>
      </c>
      <c r="O51" s="30">
        <v>1189.1781918443862</v>
      </c>
      <c r="P51" s="52">
        <f t="shared" si="12"/>
        <v>33.300000000000004</v>
      </c>
      <c r="Q51" s="53">
        <f t="shared" si="13"/>
        <v>1321.309102049318</v>
      </c>
      <c r="S51" s="44">
        <v>37</v>
      </c>
      <c r="T51" s="32">
        <v>6711.0909090908999</v>
      </c>
      <c r="U51">
        <f t="shared" si="15"/>
        <v>5309.2185858585781</v>
      </c>
      <c r="V51">
        <v>7</v>
      </c>
      <c r="AE51" s="13"/>
      <c r="AF51" s="13"/>
      <c r="AG51" s="13"/>
      <c r="AK51" s="33"/>
      <c r="AL51" s="34"/>
      <c r="AM51" s="31"/>
      <c r="AN51" s="13"/>
      <c r="AP51">
        <v>28</v>
      </c>
      <c r="AQ51" s="13">
        <f t="shared" si="14"/>
        <v>0</v>
      </c>
    </row>
    <row r="52" spans="14:43" x14ac:dyDescent="0.25">
      <c r="N52" s="29">
        <v>38</v>
      </c>
      <c r="O52" s="30">
        <v>1737.005761240287</v>
      </c>
      <c r="P52" s="31">
        <f t="shared" si="12"/>
        <v>34.200000000000003</v>
      </c>
      <c r="Q52" s="13">
        <f t="shared" si="13"/>
        <v>1930.0064013780966</v>
      </c>
      <c r="S52" s="44">
        <v>38</v>
      </c>
      <c r="T52" s="32">
        <v>8639.0629651558193</v>
      </c>
      <c r="U52">
        <f t="shared" si="15"/>
        <v>6834.4587013232695</v>
      </c>
      <c r="V52">
        <v>8</v>
      </c>
      <c r="AK52" s="33"/>
      <c r="AL52" s="34"/>
      <c r="AM52" s="31"/>
      <c r="AN52" s="13"/>
      <c r="AP52">
        <v>29</v>
      </c>
      <c r="AQ52" s="13">
        <f t="shared" si="14"/>
        <v>0</v>
      </c>
    </row>
    <row r="53" spans="14:43" x14ac:dyDescent="0.25">
      <c r="N53" s="29">
        <v>39</v>
      </c>
      <c r="O53" s="30">
        <v>2512.3547130061288</v>
      </c>
      <c r="P53" s="31">
        <f t="shared" si="12"/>
        <v>35.1</v>
      </c>
      <c r="Q53" s="13">
        <f t="shared" si="13"/>
        <v>2791.5052366734762</v>
      </c>
      <c r="S53" s="44"/>
      <c r="T53" s="32"/>
      <c r="AK53" s="33"/>
      <c r="AL53" s="34"/>
      <c r="AM53" s="31"/>
      <c r="AN53" s="13"/>
      <c r="AP53">
        <v>30</v>
      </c>
      <c r="AQ53" s="13">
        <f t="shared" si="14"/>
        <v>0</v>
      </c>
    </row>
    <row r="54" spans="14:43" x14ac:dyDescent="0.25">
      <c r="N54" s="29">
        <v>40</v>
      </c>
      <c r="O54" s="30">
        <v>3600</v>
      </c>
      <c r="P54" s="31">
        <f t="shared" si="12"/>
        <v>36</v>
      </c>
      <c r="Q54" s="13">
        <f t="shared" si="13"/>
        <v>4000</v>
      </c>
      <c r="S54" s="44"/>
      <c r="T54" s="32"/>
      <c r="AK54" s="33"/>
      <c r="AL54" s="34"/>
      <c r="AQ54" s="13"/>
    </row>
    <row r="55" spans="14:43" x14ac:dyDescent="0.25">
      <c r="N55" s="29">
        <v>41</v>
      </c>
      <c r="O55" s="30"/>
      <c r="P55" s="31">
        <f t="shared" si="12"/>
        <v>36.9</v>
      </c>
      <c r="Q55" s="13">
        <f t="shared" si="13"/>
        <v>0</v>
      </c>
      <c r="S55" s="44"/>
      <c r="T55" s="32"/>
      <c r="AK55" s="33"/>
      <c r="AL55" s="34"/>
      <c r="AQ55" s="13"/>
    </row>
    <row r="56" spans="14:43" x14ac:dyDescent="0.25">
      <c r="N56" s="29">
        <v>42</v>
      </c>
      <c r="O56" s="30"/>
      <c r="P56" s="31">
        <f t="shared" si="12"/>
        <v>37.800000000000004</v>
      </c>
      <c r="Q56" s="13">
        <f t="shared" si="13"/>
        <v>0</v>
      </c>
      <c r="S56" s="44"/>
      <c r="T56" s="32"/>
      <c r="AK56" s="33"/>
      <c r="AL56" s="34"/>
      <c r="AQ56" s="13"/>
    </row>
    <row r="57" spans="14:43" x14ac:dyDescent="0.25">
      <c r="N57" s="29">
        <v>43</v>
      </c>
      <c r="O57" s="30"/>
      <c r="P57" s="48">
        <f t="shared" si="12"/>
        <v>38.700000000000003</v>
      </c>
      <c r="Q57" s="46">
        <f t="shared" si="13"/>
        <v>0</v>
      </c>
      <c r="S57" s="44"/>
      <c r="T57" s="32"/>
      <c r="AK57" s="33"/>
      <c r="AL57" s="34"/>
      <c r="AQ57" s="13"/>
    </row>
    <row r="58" spans="14:43" x14ac:dyDescent="0.25">
      <c r="N58" s="29">
        <v>44</v>
      </c>
      <c r="O58" s="30"/>
      <c r="P58" s="31">
        <f t="shared" si="12"/>
        <v>39.6</v>
      </c>
      <c r="Q58" s="13">
        <f t="shared" si="13"/>
        <v>0</v>
      </c>
      <c r="S58" s="44"/>
      <c r="T58" s="32"/>
      <c r="AK58" s="33"/>
      <c r="AL58" s="34"/>
      <c r="AQ58" s="13"/>
    </row>
    <row r="59" spans="14:43" x14ac:dyDescent="0.25">
      <c r="N59" s="29">
        <v>45</v>
      </c>
      <c r="O59" s="30"/>
      <c r="P59" s="52">
        <f t="shared" si="12"/>
        <v>40.5</v>
      </c>
      <c r="Q59" s="53">
        <f t="shared" si="13"/>
        <v>0</v>
      </c>
      <c r="S59" s="44"/>
      <c r="T59" s="32"/>
      <c r="AK59" s="33"/>
      <c r="AL59" s="34"/>
      <c r="AQ59" s="13"/>
    </row>
    <row r="60" spans="14:43" x14ac:dyDescent="0.25">
      <c r="N60" s="29">
        <v>46</v>
      </c>
      <c r="O60" s="30"/>
      <c r="P60" s="31">
        <f t="shared" si="12"/>
        <v>41.4</v>
      </c>
      <c r="Q60" s="13">
        <f t="shared" si="13"/>
        <v>0</v>
      </c>
      <c r="S60" s="44"/>
      <c r="T60" s="32"/>
      <c r="AK60" s="33"/>
      <c r="AL60" s="34"/>
      <c r="AQ60" s="13"/>
    </row>
    <row r="61" spans="14:43" x14ac:dyDescent="0.25">
      <c r="N61" s="29">
        <v>47</v>
      </c>
      <c r="O61" s="30"/>
      <c r="P61" s="31">
        <f t="shared" si="12"/>
        <v>42.300000000000004</v>
      </c>
      <c r="Q61" s="13">
        <f t="shared" si="13"/>
        <v>0</v>
      </c>
      <c r="S61" s="44"/>
      <c r="T61" s="32"/>
      <c r="AK61" s="33"/>
      <c r="AL61" s="34"/>
      <c r="AQ61" s="13"/>
    </row>
    <row r="62" spans="14:43" x14ac:dyDescent="0.25">
      <c r="N62" s="29">
        <v>48</v>
      </c>
      <c r="O62" s="30"/>
      <c r="P62" s="31">
        <f t="shared" si="12"/>
        <v>43.2</v>
      </c>
      <c r="Q62" s="13">
        <f t="shared" si="13"/>
        <v>0</v>
      </c>
      <c r="S62" s="44"/>
      <c r="T62" s="32"/>
      <c r="AK62" s="33"/>
      <c r="AL62" s="34"/>
      <c r="AQ62" s="13"/>
    </row>
    <row r="63" spans="14:43" x14ac:dyDescent="0.25">
      <c r="N63" s="29">
        <v>49</v>
      </c>
      <c r="O63" s="30"/>
      <c r="P63" s="31">
        <f t="shared" si="12"/>
        <v>44.1</v>
      </c>
      <c r="Q63" s="13">
        <f t="shared" si="13"/>
        <v>0</v>
      </c>
      <c r="S63" s="44"/>
      <c r="T63" s="32"/>
      <c r="AK63" s="33"/>
      <c r="AL63" s="34"/>
      <c r="AQ63" s="13"/>
    </row>
    <row r="64" spans="14:43" x14ac:dyDescent="0.25">
      <c r="N64" s="29">
        <v>50</v>
      </c>
      <c r="O64" s="30"/>
      <c r="P64" s="31">
        <f t="shared" si="12"/>
        <v>45</v>
      </c>
      <c r="Q64" s="13">
        <f t="shared" si="13"/>
        <v>0</v>
      </c>
      <c r="S64" s="44"/>
      <c r="T64" s="32"/>
      <c r="AQ64" s="13"/>
    </row>
    <row r="65" spans="43:43" x14ac:dyDescent="0.25">
      <c r="AQ65" s="13"/>
    </row>
    <row r="66" spans="43:43" x14ac:dyDescent="0.25">
      <c r="AQ66" s="13"/>
    </row>
    <row r="67" spans="43:43" x14ac:dyDescent="0.25">
      <c r="AQ67" s="13"/>
    </row>
    <row r="68" spans="43:43" x14ac:dyDescent="0.25">
      <c r="AQ68" s="13"/>
    </row>
    <row r="69" spans="43:43" x14ac:dyDescent="0.25">
      <c r="AQ69" s="13"/>
    </row>
    <row r="70" spans="43:43" x14ac:dyDescent="0.25">
      <c r="AQ70" s="13"/>
    </row>
    <row r="71" spans="43:43" x14ac:dyDescent="0.25">
      <c r="AQ71" s="13"/>
    </row>
    <row r="72" spans="43:43" x14ac:dyDescent="0.25">
      <c r="AQ72" s="13"/>
    </row>
    <row r="73" spans="43:43" x14ac:dyDescent="0.25">
      <c r="AQ73" s="13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D94C-4672-4071-AA68-389CF1CF20A1}">
  <sheetPr>
    <tabColor rgb="FFC00000"/>
  </sheetPr>
  <dimension ref="B2:AT73"/>
  <sheetViews>
    <sheetView zoomScale="85" zoomScaleNormal="85" workbookViewId="0"/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0.140625" bestFit="1" customWidth="1"/>
    <col min="27" max="28" width="9.7109375" customWidth="1"/>
    <col min="29" max="29" width="10.140625" bestFit="1" customWidth="1"/>
    <col min="30" max="34" width="9.7109375" customWidth="1"/>
    <col min="39" max="39" width="11.42578125" bestFit="1" customWidth="1"/>
  </cols>
  <sheetData>
    <row r="2" spans="2:46" x14ac:dyDescent="0.25">
      <c r="B2" s="1" t="s">
        <v>0</v>
      </c>
    </row>
    <row r="3" spans="2:46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2" t="s">
        <v>14</v>
      </c>
      <c r="AE3" s="8" t="s">
        <v>15</v>
      </c>
      <c r="AF3" s="8" t="s">
        <v>16</v>
      </c>
      <c r="AG3" s="8" t="s">
        <v>17</v>
      </c>
      <c r="AH3" s="8" t="s">
        <v>18</v>
      </c>
      <c r="AJ3" t="s">
        <v>10</v>
      </c>
      <c r="AO3" t="s">
        <v>19</v>
      </c>
    </row>
    <row r="4" spans="2:46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F4" s="13">
        <f>P4/O4</f>
        <v>3131.1111111111109</v>
      </c>
      <c r="AG4" s="13">
        <f>U4/T4</f>
        <v>2834.0740740740739</v>
      </c>
      <c r="AH4" s="13">
        <f>Z4/Y4</f>
        <v>2621.1111111111109</v>
      </c>
      <c r="AJ4" s="13">
        <f>K4</f>
        <v>790.5</v>
      </c>
      <c r="AK4" s="13">
        <f>P4</f>
        <v>1409</v>
      </c>
      <c r="AL4" s="13">
        <f>U4</f>
        <v>1913</v>
      </c>
      <c r="AM4" s="13">
        <f>Z4</f>
        <v>2359</v>
      </c>
      <c r="AO4" s="14">
        <f>J4</f>
        <v>0.22500000000000001</v>
      </c>
      <c r="AP4" s="14">
        <f>O4</f>
        <v>0.45</v>
      </c>
      <c r="AQ4" s="14">
        <f>T4</f>
        <v>0.67500000000000004</v>
      </c>
      <c r="AR4" s="14">
        <f>Y4</f>
        <v>0.9</v>
      </c>
    </row>
    <row r="5" spans="2:46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F5" s="13">
        <v>4405.7142857142853</v>
      </c>
      <c r="AG5" s="13">
        <v>4008.8945362134687</v>
      </c>
      <c r="AH5" s="13">
        <v>3721.9047619047619</v>
      </c>
      <c r="AJ5" s="13">
        <f t="shared" ref="AJ5" si="0">K5</f>
        <v>1291</v>
      </c>
      <c r="AK5" s="13">
        <f t="shared" ref="AK5" si="1">P5</f>
        <v>2313</v>
      </c>
      <c r="AL5" s="13">
        <f t="shared" ref="AL5" si="2">U5</f>
        <v>3155</v>
      </c>
      <c r="AM5" s="13">
        <f t="shared" ref="AM5" si="3">Z5</f>
        <v>3908</v>
      </c>
      <c r="AO5" s="14">
        <f t="shared" ref="AO5" si="4">J5</f>
        <v>0.26200000000000001</v>
      </c>
      <c r="AP5" s="14">
        <f t="shared" ref="AP5" si="5">O5</f>
        <v>0.52500000000000002</v>
      </c>
      <c r="AQ5" s="14">
        <f t="shared" ref="AQ5" si="6">T5</f>
        <v>0.78700000000000003</v>
      </c>
      <c r="AR5" s="14">
        <f t="shared" ref="AR5" si="7">Y5</f>
        <v>1.05</v>
      </c>
    </row>
    <row r="6" spans="2:46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F6" s="13">
        <f>P6/O6</f>
        <v>6659.9999999999991</v>
      </c>
      <c r="AG6" s="13">
        <f>U6/T6</f>
        <v>6265.454545454546</v>
      </c>
      <c r="AH6" s="13">
        <f>Z6/Y6</f>
        <v>5981.8181818181811</v>
      </c>
      <c r="AJ6" s="13">
        <f>K6</f>
        <v>1972</v>
      </c>
      <c r="AK6" s="13">
        <f>P6</f>
        <v>3663</v>
      </c>
      <c r="AL6" s="13">
        <f>U6</f>
        <v>5169</v>
      </c>
      <c r="AM6" s="13">
        <f>Z6</f>
        <v>6580</v>
      </c>
      <c r="AO6" s="14">
        <f>J6</f>
        <v>0.27500000000000002</v>
      </c>
      <c r="AP6" s="14">
        <f>O6</f>
        <v>0.55000000000000004</v>
      </c>
      <c r="AQ6" s="14">
        <f>T6</f>
        <v>0.82499999999999996</v>
      </c>
      <c r="AR6" s="14">
        <f>Y6</f>
        <v>1.1000000000000001</v>
      </c>
    </row>
    <row r="7" spans="2:46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F7" s="13">
        <f>P7/O7</f>
        <v>9418.8235294117658</v>
      </c>
      <c r="AG7" s="13">
        <f>U7/T7</f>
        <v>9078.4929356357934</v>
      </c>
      <c r="AH7" s="13">
        <f>Z7/Y7</f>
        <v>8821.176470588236</v>
      </c>
      <c r="AJ7" s="13">
        <f>K7</f>
        <v>2097</v>
      </c>
      <c r="AK7" s="13">
        <f>P7</f>
        <v>4003</v>
      </c>
      <c r="AL7" s="13">
        <f>U7</f>
        <v>5783</v>
      </c>
      <c r="AM7" s="13">
        <f>Z7</f>
        <v>7498</v>
      </c>
      <c r="AO7" s="14">
        <f>J7</f>
        <v>0.21199999999999999</v>
      </c>
      <c r="AP7" s="14">
        <f>O7</f>
        <v>0.42499999999999999</v>
      </c>
      <c r="AQ7" s="14">
        <f>T7</f>
        <v>0.63700000000000001</v>
      </c>
      <c r="AR7" s="14">
        <f>Y7</f>
        <v>0.85</v>
      </c>
    </row>
    <row r="8" spans="2:46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F8" s="13">
        <f t="shared" ref="AF8" si="9">P8/O8</f>
        <v>11304</v>
      </c>
      <c r="AG8" s="13">
        <f t="shared" ref="AG8" si="10">U8/T8</f>
        <v>10983.985765124555</v>
      </c>
      <c r="AH8" s="13">
        <f t="shared" ref="AH8" si="11">Z8/Y8</f>
        <v>10738.666666666666</v>
      </c>
      <c r="AJ8" s="13">
        <f>K8</f>
        <v>2199</v>
      </c>
      <c r="AK8" s="13">
        <f>P8</f>
        <v>4239</v>
      </c>
      <c r="AL8" s="13">
        <f>U8</f>
        <v>6173</v>
      </c>
      <c r="AM8" s="13">
        <f>Z8</f>
        <v>8054</v>
      </c>
      <c r="AO8" s="14">
        <f>J8</f>
        <v>0.187</v>
      </c>
      <c r="AP8" s="14">
        <f>O8</f>
        <v>0.375</v>
      </c>
      <c r="AQ8" s="14">
        <f>T8</f>
        <v>0.56200000000000006</v>
      </c>
      <c r="AR8" s="14">
        <f>Y8</f>
        <v>0.75</v>
      </c>
    </row>
    <row r="9" spans="2:46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</row>
    <row r="10" spans="2:46" x14ac:dyDescent="0.25">
      <c r="N10" s="15" t="s">
        <v>71</v>
      </c>
      <c r="O10" s="16">
        <v>0.9</v>
      </c>
      <c r="Q10" s="47" t="s">
        <v>102</v>
      </c>
      <c r="R10" s="16">
        <v>33</v>
      </c>
    </row>
    <row r="11" spans="2:46" x14ac:dyDescent="0.25">
      <c r="AH11" s="22"/>
      <c r="AK11" s="20" t="s">
        <v>75</v>
      </c>
      <c r="AL11" s="18"/>
      <c r="AM11" s="18"/>
      <c r="AN11" s="19"/>
      <c r="AP11" s="1" t="s">
        <v>76</v>
      </c>
    </row>
    <row r="12" spans="2:46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AH12" s="1"/>
      <c r="AK12" s="25" t="s">
        <v>79</v>
      </c>
      <c r="AL12" s="26" t="s">
        <v>80</v>
      </c>
      <c r="AM12" s="26"/>
      <c r="AN12" s="27"/>
    </row>
    <row r="13" spans="2:46" x14ac:dyDescent="0.25">
      <c r="B13" s="23" t="s">
        <v>77</v>
      </c>
      <c r="C13">
        <v>26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AG13" s="1"/>
      <c r="AH13" s="13"/>
      <c r="AI13" s="13"/>
      <c r="AK13" s="33">
        <v>0</v>
      </c>
      <c r="AL13" s="34">
        <v>0</v>
      </c>
      <c r="AM13" s="31"/>
      <c r="AN13" s="13"/>
      <c r="AP13">
        <v>-10</v>
      </c>
      <c r="AQ13" s="13">
        <f>IF(AP13&lt;$C$13,0,(AP13-$C$13)*$C$14)</f>
        <v>0</v>
      </c>
      <c r="AS13" s="13"/>
      <c r="AT13" s="13"/>
    </row>
    <row r="14" spans="2:46" x14ac:dyDescent="0.25">
      <c r="B14" s="23" t="s">
        <v>84</v>
      </c>
      <c r="C14">
        <v>61</v>
      </c>
      <c r="D14" t="s">
        <v>85</v>
      </c>
      <c r="L14" s="24"/>
      <c r="N14" s="29">
        <v>0</v>
      </c>
      <c r="O14" s="30">
        <v>0</v>
      </c>
      <c r="P14" s="31">
        <f t="shared" ref="P14:P64" si="12">N14*$O$10</f>
        <v>0</v>
      </c>
      <c r="Q14" s="13">
        <f t="shared" ref="Q14:Q64" si="13">O14/($O$10)</f>
        <v>0</v>
      </c>
      <c r="S14" s="32">
        <v>0</v>
      </c>
      <c r="T14" s="32">
        <v>0</v>
      </c>
      <c r="AG14" s="13"/>
      <c r="AH14" s="13"/>
      <c r="AI14" s="13"/>
      <c r="AK14" s="33">
        <v>1</v>
      </c>
      <c r="AL14" s="34">
        <v>0</v>
      </c>
      <c r="AM14" s="31"/>
      <c r="AN14" s="13"/>
      <c r="AP14">
        <v>-9</v>
      </c>
      <c r="AQ14" s="13">
        <f t="shared" ref="AQ14:AQ53" si="14">IF(AP14&lt;$C$13,0,(AP14-$C$13)*$C$14)</f>
        <v>0</v>
      </c>
      <c r="AS14" s="13"/>
      <c r="AT14" s="13"/>
    </row>
    <row r="15" spans="2:46" x14ac:dyDescent="0.25">
      <c r="B15" s="35"/>
      <c r="L15" s="24"/>
      <c r="N15" s="29">
        <v>1</v>
      </c>
      <c r="O15" s="30">
        <v>9.6480060561812521E-12</v>
      </c>
      <c r="P15" s="31">
        <f t="shared" si="12"/>
        <v>0.9</v>
      </c>
      <c r="Q15" s="13">
        <f t="shared" si="13"/>
        <v>1.072000672909028E-11</v>
      </c>
      <c r="S15" s="32">
        <v>1</v>
      </c>
      <c r="T15" s="32">
        <v>0</v>
      </c>
      <c r="AG15" s="13"/>
      <c r="AH15" s="13"/>
      <c r="AI15" s="13"/>
      <c r="AK15" s="33">
        <v>2</v>
      </c>
      <c r="AL15" s="34">
        <v>0</v>
      </c>
      <c r="AM15" s="31"/>
      <c r="AN15" s="13"/>
      <c r="AP15">
        <v>-8</v>
      </c>
      <c r="AQ15" s="13">
        <f t="shared" si="14"/>
        <v>0</v>
      </c>
      <c r="AS15" s="13"/>
      <c r="AT15" s="13"/>
    </row>
    <row r="16" spans="2:46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4.1277750258421894E-9</v>
      </c>
      <c r="P16" s="31">
        <f t="shared" si="12"/>
        <v>1.8</v>
      </c>
      <c r="Q16" s="13">
        <f t="shared" si="13"/>
        <v>4.5864166953802105E-9</v>
      </c>
      <c r="S16" s="32">
        <v>2</v>
      </c>
      <c r="T16" s="32">
        <v>0</v>
      </c>
      <c r="AG16" s="13"/>
      <c r="AH16" s="13"/>
      <c r="AI16" s="13"/>
      <c r="AK16" s="33">
        <v>3</v>
      </c>
      <c r="AL16" s="34">
        <v>0</v>
      </c>
      <c r="AM16" s="31"/>
      <c r="AN16" s="13"/>
      <c r="AP16">
        <v>-7</v>
      </c>
      <c r="AQ16" s="13">
        <f t="shared" si="14"/>
        <v>0</v>
      </c>
      <c r="AS16" s="13"/>
      <c r="AT16" s="13"/>
    </row>
    <row r="17" spans="2:46" x14ac:dyDescent="0.25">
      <c r="B17" s="35">
        <v>0</v>
      </c>
      <c r="C17" t="s">
        <v>95</v>
      </c>
      <c r="G17" s="36">
        <v>33</v>
      </c>
      <c r="H17">
        <v>0</v>
      </c>
      <c r="I17">
        <v>0</v>
      </c>
      <c r="J17">
        <f>G17</f>
        <v>33</v>
      </c>
      <c r="K17">
        <v>0</v>
      </c>
      <c r="L17" s="24"/>
      <c r="N17" s="29">
        <v>3</v>
      </c>
      <c r="O17" s="30">
        <v>1.428615120262175E-7</v>
      </c>
      <c r="P17" s="31">
        <f t="shared" si="12"/>
        <v>2.7</v>
      </c>
      <c r="Q17" s="13">
        <f t="shared" si="13"/>
        <v>1.5873501336246389E-7</v>
      </c>
      <c r="S17" s="32">
        <v>3</v>
      </c>
      <c r="T17" s="32">
        <v>0</v>
      </c>
      <c r="AG17" s="13"/>
      <c r="AH17" s="13"/>
      <c r="AI17" s="13"/>
      <c r="AK17" s="33">
        <v>4</v>
      </c>
      <c r="AL17" s="34">
        <v>0</v>
      </c>
      <c r="AM17" s="31"/>
      <c r="AN17" s="13"/>
      <c r="AP17">
        <v>-6</v>
      </c>
      <c r="AQ17" s="13">
        <f t="shared" si="14"/>
        <v>0</v>
      </c>
      <c r="AS17" s="13"/>
      <c r="AT17" s="13"/>
    </row>
    <row r="18" spans="2:46" x14ac:dyDescent="0.25">
      <c r="B18" s="35">
        <v>1</v>
      </c>
      <c r="C18" s="37" t="str">
        <f>B4</f>
        <v>18 0011</v>
      </c>
      <c r="D18" s="36">
        <v>8</v>
      </c>
      <c r="E18" s="36">
        <v>1</v>
      </c>
      <c r="F18" s="38">
        <v>0.3</v>
      </c>
      <c r="G18" s="14">
        <f>F18*D18</f>
        <v>2.4</v>
      </c>
      <c r="H18" s="39">
        <f>AF4*F18*E18</f>
        <v>939.33333333333326</v>
      </c>
      <c r="I18" s="13">
        <f>H18/G18</f>
        <v>391.38888888888886</v>
      </c>
      <c r="J18" s="40">
        <f>G4*D18+((E18-1)*D18*E4)</f>
        <v>17.2</v>
      </c>
      <c r="K18" s="31">
        <f>J18-G18</f>
        <v>14.799999999999999</v>
      </c>
      <c r="L18" s="24"/>
      <c r="N18" s="29">
        <v>4</v>
      </c>
      <c r="O18" s="30">
        <v>1.7660153367182336E-6</v>
      </c>
      <c r="P18" s="31">
        <f t="shared" si="12"/>
        <v>3.6</v>
      </c>
      <c r="Q18" s="13">
        <f t="shared" si="13"/>
        <v>1.9622392630202596E-6</v>
      </c>
      <c r="S18" s="32">
        <v>4</v>
      </c>
      <c r="T18" s="32">
        <v>0</v>
      </c>
      <c r="AG18" s="13"/>
      <c r="AH18" s="13"/>
      <c r="AI18" s="13"/>
      <c r="AK18" s="33">
        <v>5</v>
      </c>
      <c r="AL18" s="34">
        <v>0</v>
      </c>
      <c r="AM18" s="31"/>
      <c r="AN18" s="13"/>
      <c r="AP18">
        <v>-5</v>
      </c>
      <c r="AQ18" s="13">
        <f t="shared" si="14"/>
        <v>0</v>
      </c>
      <c r="AS18" s="13"/>
      <c r="AT18" s="13"/>
    </row>
    <row r="19" spans="2:46" x14ac:dyDescent="0.25">
      <c r="B19" s="35">
        <v>2</v>
      </c>
      <c r="C19" s="37" t="str">
        <f>B5</f>
        <v>18 0019</v>
      </c>
      <c r="D19" s="36">
        <v>12</v>
      </c>
      <c r="E19" s="36">
        <v>1</v>
      </c>
      <c r="F19" s="38">
        <v>0.53</v>
      </c>
      <c r="G19" s="14">
        <f>F19*D19</f>
        <v>6.36</v>
      </c>
      <c r="H19" s="39">
        <f>AF5*F19*E19</f>
        <v>2335.0285714285715</v>
      </c>
      <c r="I19" s="13">
        <f>H19/G19</f>
        <v>367.14285714285711</v>
      </c>
      <c r="J19" s="40">
        <f>G5*D19+((E19-1)*D19*E5)</f>
        <v>30.599999999999998</v>
      </c>
      <c r="K19" s="31">
        <f>J19-G19</f>
        <v>24.24</v>
      </c>
      <c r="L19" s="24"/>
      <c r="N19" s="29">
        <v>5</v>
      </c>
      <c r="O19" s="30">
        <v>1.2418722704516786E-5</v>
      </c>
      <c r="P19" s="31">
        <f t="shared" si="12"/>
        <v>4.5</v>
      </c>
      <c r="Q19" s="13">
        <f t="shared" si="13"/>
        <v>1.3798580782796429E-5</v>
      </c>
      <c r="S19" s="32">
        <v>5</v>
      </c>
      <c r="T19" s="32">
        <v>0</v>
      </c>
      <c r="AG19" s="13"/>
      <c r="AH19" s="13"/>
      <c r="AI19" s="13"/>
      <c r="AK19" s="33">
        <v>6</v>
      </c>
      <c r="AL19" s="34">
        <v>0</v>
      </c>
      <c r="AM19" s="31"/>
      <c r="AN19" s="13"/>
      <c r="AP19">
        <v>-4</v>
      </c>
      <c r="AQ19" s="13">
        <f t="shared" si="14"/>
        <v>0</v>
      </c>
      <c r="AS19" s="13"/>
      <c r="AT19" s="13"/>
    </row>
    <row r="20" spans="2:46" x14ac:dyDescent="0.25">
      <c r="B20" s="35"/>
      <c r="L20" s="24"/>
      <c r="N20" s="29">
        <v>6</v>
      </c>
      <c r="O20" s="30">
        <v>6.1121456398554664E-5</v>
      </c>
      <c r="P20" s="31">
        <f t="shared" si="12"/>
        <v>5.4</v>
      </c>
      <c r="Q20" s="13">
        <f t="shared" si="13"/>
        <v>6.79127293317274E-5</v>
      </c>
      <c r="S20" s="32">
        <v>6</v>
      </c>
      <c r="T20" s="32">
        <v>0</v>
      </c>
      <c r="AG20" s="13"/>
      <c r="AH20" s="13"/>
      <c r="AI20" s="13"/>
      <c r="AK20" s="33">
        <v>7</v>
      </c>
      <c r="AL20" s="34">
        <v>0</v>
      </c>
      <c r="AM20" s="31"/>
      <c r="AN20" s="13"/>
      <c r="AP20">
        <v>-3</v>
      </c>
      <c r="AQ20" s="13">
        <f t="shared" si="14"/>
        <v>0</v>
      </c>
      <c r="AS20" s="13"/>
      <c r="AT20" s="13"/>
    </row>
    <row r="21" spans="2:46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80.8</v>
      </c>
      <c r="K21" s="43">
        <f>SUM(K17:K19)</f>
        <v>39.04</v>
      </c>
      <c r="L21" s="24"/>
      <c r="N21" s="29">
        <v>7</v>
      </c>
      <c r="O21" s="30">
        <v>2.3516358925683436E-4</v>
      </c>
      <c r="P21" s="31">
        <f t="shared" si="12"/>
        <v>6.3</v>
      </c>
      <c r="Q21" s="13">
        <f t="shared" si="13"/>
        <v>2.6129287695203816E-4</v>
      </c>
      <c r="S21" s="32">
        <v>7</v>
      </c>
      <c r="T21" s="32">
        <v>0</v>
      </c>
      <c r="AG21" s="13"/>
      <c r="AH21" s="13"/>
      <c r="AI21" s="13"/>
      <c r="AK21" s="33">
        <v>8</v>
      </c>
      <c r="AL21" s="34">
        <v>0</v>
      </c>
      <c r="AM21" s="31"/>
      <c r="AN21" s="13"/>
      <c r="AP21">
        <v>-2</v>
      </c>
      <c r="AQ21" s="13">
        <f t="shared" si="14"/>
        <v>0</v>
      </c>
      <c r="AS21" s="13"/>
      <c r="AT21" s="13"/>
    </row>
    <row r="22" spans="2:46" x14ac:dyDescent="0.25">
      <c r="B22" s="35">
        <v>0</v>
      </c>
      <c r="C22">
        <v>0</v>
      </c>
      <c r="F22">
        <f>C13</f>
        <v>26</v>
      </c>
      <c r="G22" s="13">
        <v>0</v>
      </c>
      <c r="H22" s="49" t="s">
        <v>103</v>
      </c>
      <c r="L22" s="24"/>
      <c r="N22" s="29">
        <v>8</v>
      </c>
      <c r="O22" s="30">
        <v>7.5556689742016232E-4</v>
      </c>
      <c r="P22" s="31">
        <f t="shared" si="12"/>
        <v>7.2</v>
      </c>
      <c r="Q22" s="13">
        <f t="shared" si="13"/>
        <v>8.3951877491129142E-4</v>
      </c>
      <c r="S22" s="32">
        <v>8</v>
      </c>
      <c r="T22" s="32">
        <v>0</v>
      </c>
      <c r="AG22" s="13"/>
      <c r="AH22" s="13"/>
      <c r="AI22" s="13"/>
      <c r="AK22" s="33">
        <v>9</v>
      </c>
      <c r="AL22" s="34">
        <v>0</v>
      </c>
      <c r="AM22" s="31"/>
      <c r="AN22" s="13"/>
      <c r="AP22">
        <v>-1</v>
      </c>
      <c r="AQ22" s="13">
        <f t="shared" si="14"/>
        <v>0</v>
      </c>
      <c r="AS22" s="13"/>
      <c r="AT22" s="13"/>
    </row>
    <row r="23" spans="2:46" x14ac:dyDescent="0.25">
      <c r="B23" s="35" t="s">
        <v>101</v>
      </c>
      <c r="C23">
        <v>0</v>
      </c>
      <c r="F23">
        <f>G17</f>
        <v>33</v>
      </c>
      <c r="G23" s="13">
        <f>C23+(F23-$C$13)*($C$14)</f>
        <v>427</v>
      </c>
      <c r="H23" s="50" t="s">
        <v>104</v>
      </c>
      <c r="J23" s="31"/>
      <c r="L23" s="24"/>
      <c r="N23" s="29">
        <v>9</v>
      </c>
      <c r="O23" s="30">
        <v>2.115402032251136E-3</v>
      </c>
      <c r="P23" s="31">
        <f t="shared" si="12"/>
        <v>8.1</v>
      </c>
      <c r="Q23" s="13">
        <f t="shared" si="13"/>
        <v>2.350446702501262E-3</v>
      </c>
      <c r="S23" s="32">
        <v>9</v>
      </c>
      <c r="T23" s="32">
        <v>0</v>
      </c>
      <c r="AG23" s="13"/>
      <c r="AH23" s="13"/>
      <c r="AI23" s="13"/>
      <c r="AK23" s="33">
        <v>10</v>
      </c>
      <c r="AL23" s="34">
        <v>0</v>
      </c>
      <c r="AM23" s="31"/>
      <c r="AN23" s="13"/>
      <c r="AP23">
        <v>0</v>
      </c>
      <c r="AQ23" s="13">
        <f t="shared" si="14"/>
        <v>0</v>
      </c>
      <c r="AS23" s="13"/>
      <c r="AT23" s="13"/>
    </row>
    <row r="24" spans="2:46" x14ac:dyDescent="0.25">
      <c r="B24" s="35">
        <v>1</v>
      </c>
      <c r="C24" s="13">
        <f>H18</f>
        <v>939.33333333333326</v>
      </c>
      <c r="D24" s="13">
        <f>I18*I19/(I18+I19)</f>
        <v>189.4391838869997</v>
      </c>
      <c r="E24" s="31">
        <f>C24/D24</f>
        <v>4.9584954604409868</v>
      </c>
      <c r="F24" s="31">
        <f>F23+E24</f>
        <v>37.958495460440986</v>
      </c>
      <c r="G24" s="13">
        <f>C24+(F24-$C$13)*($C$14)</f>
        <v>1668.8015564202333</v>
      </c>
      <c r="H24" s="51" t="s">
        <v>105</v>
      </c>
      <c r="L24" s="24"/>
      <c r="N24" s="29">
        <v>10</v>
      </c>
      <c r="O24" s="30">
        <v>5.313190428577896E-3</v>
      </c>
      <c r="P24" s="31">
        <f t="shared" si="12"/>
        <v>9</v>
      </c>
      <c r="Q24" s="13">
        <f t="shared" si="13"/>
        <v>5.9035449206421061E-3</v>
      </c>
      <c r="S24" s="32">
        <v>10</v>
      </c>
      <c r="T24" s="32">
        <v>0</v>
      </c>
      <c r="AG24" s="13"/>
      <c r="AH24" s="13"/>
      <c r="AI24" s="13"/>
      <c r="AK24" s="33">
        <v>11</v>
      </c>
      <c r="AL24" s="34">
        <v>0</v>
      </c>
      <c r="AM24" s="31"/>
      <c r="AN24" s="13"/>
      <c r="AP24">
        <v>1</v>
      </c>
      <c r="AQ24" s="13">
        <f t="shared" si="14"/>
        <v>0</v>
      </c>
      <c r="AS24" s="13"/>
      <c r="AT24" s="13"/>
    </row>
    <row r="25" spans="2:46" x14ac:dyDescent="0.25">
      <c r="B25" s="35">
        <v>2</v>
      </c>
      <c r="C25" s="13">
        <f>H19</f>
        <v>2335.0285714285715</v>
      </c>
      <c r="D25" s="13">
        <f>I19</f>
        <v>367.14285714285711</v>
      </c>
      <c r="E25" s="31">
        <f>(C25-C24)/D25</f>
        <v>3.8015045395590148</v>
      </c>
      <c r="F25" s="31">
        <f>F24+E25</f>
        <v>41.76</v>
      </c>
      <c r="G25" s="13">
        <f>C25+(F25-$C$13)*($C$14)</f>
        <v>3296.3885714285716</v>
      </c>
      <c r="H25" s="51" t="s">
        <v>106</v>
      </c>
      <c r="L25" s="24"/>
      <c r="N25" s="29">
        <v>11</v>
      </c>
      <c r="O25" s="30">
        <v>1.2222651827478776E-2</v>
      </c>
      <c r="P25" s="31">
        <f t="shared" si="12"/>
        <v>9.9</v>
      </c>
      <c r="Q25" s="13">
        <f t="shared" si="13"/>
        <v>1.3580724252754195E-2</v>
      </c>
      <c r="S25" s="32">
        <v>11</v>
      </c>
      <c r="T25" s="32">
        <v>0</v>
      </c>
      <c r="AG25" s="13"/>
      <c r="AH25" s="13"/>
      <c r="AI25" s="13"/>
      <c r="AK25" s="33">
        <v>12</v>
      </c>
      <c r="AL25" s="34">
        <v>0</v>
      </c>
      <c r="AM25" s="31"/>
      <c r="AN25" s="13"/>
      <c r="AP25">
        <v>2</v>
      </c>
      <c r="AQ25" s="13">
        <f t="shared" si="14"/>
        <v>0</v>
      </c>
      <c r="AS25" s="13"/>
      <c r="AT25" s="13"/>
    </row>
    <row r="26" spans="2:46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2.6150027248730483E-2</v>
      </c>
      <c r="P26" s="31">
        <f t="shared" si="12"/>
        <v>10.8</v>
      </c>
      <c r="Q26" s="13">
        <f t="shared" si="13"/>
        <v>2.9055585831922758E-2</v>
      </c>
      <c r="S26" s="32">
        <v>12</v>
      </c>
      <c r="T26" s="32">
        <v>0</v>
      </c>
      <c r="AG26" s="13"/>
      <c r="AH26" s="13"/>
      <c r="AI26" s="13"/>
      <c r="AK26" s="33">
        <v>13</v>
      </c>
      <c r="AL26" s="34">
        <v>0</v>
      </c>
      <c r="AM26" s="31"/>
      <c r="AN26" s="13"/>
      <c r="AP26">
        <v>3</v>
      </c>
      <c r="AQ26" s="13">
        <f t="shared" si="14"/>
        <v>0</v>
      </c>
      <c r="AS26" s="13"/>
      <c r="AT26" s="13"/>
    </row>
    <row r="27" spans="2:46" x14ac:dyDescent="0.25">
      <c r="N27" s="29">
        <v>13</v>
      </c>
      <c r="O27" s="30">
        <v>5.264108833855604E-2</v>
      </c>
      <c r="P27" s="31">
        <f t="shared" si="12"/>
        <v>11.700000000000001</v>
      </c>
      <c r="Q27" s="13">
        <f t="shared" si="13"/>
        <v>5.8490098153951155E-2</v>
      </c>
      <c r="S27" s="32">
        <v>13</v>
      </c>
      <c r="T27" s="32">
        <v>0</v>
      </c>
      <c r="AG27" s="13"/>
      <c r="AH27" s="13"/>
      <c r="AI27" s="13"/>
      <c r="AK27" s="33">
        <v>14</v>
      </c>
      <c r="AL27" s="34">
        <v>0</v>
      </c>
      <c r="AM27" s="31"/>
      <c r="AN27" s="13"/>
      <c r="AP27">
        <v>4</v>
      </c>
      <c r="AQ27" s="13">
        <f t="shared" si="14"/>
        <v>0</v>
      </c>
      <c r="AS27" s="13"/>
      <c r="AT27" s="13"/>
    </row>
    <row r="28" spans="2:46" x14ac:dyDescent="0.25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0.10061171034401103</v>
      </c>
      <c r="P28" s="31">
        <f t="shared" si="12"/>
        <v>12.6</v>
      </c>
      <c r="Q28" s="13">
        <f t="shared" si="13"/>
        <v>0.11179078927112338</v>
      </c>
      <c r="S28" s="32">
        <v>14</v>
      </c>
      <c r="T28" s="32">
        <v>0</v>
      </c>
      <c r="AG28" s="13"/>
      <c r="AH28" s="13"/>
      <c r="AI28" s="13"/>
      <c r="AK28" s="33">
        <v>15</v>
      </c>
      <c r="AL28" s="34">
        <v>0</v>
      </c>
      <c r="AM28" s="31"/>
      <c r="AN28" s="13"/>
      <c r="AP28">
        <v>5</v>
      </c>
      <c r="AQ28" s="13">
        <f t="shared" si="14"/>
        <v>0</v>
      </c>
      <c r="AS28" s="13"/>
      <c r="AT28" s="13"/>
    </row>
    <row r="29" spans="2:46" x14ac:dyDescent="0.25">
      <c r="B29" s="23" t="s">
        <v>107</v>
      </c>
      <c r="L29" s="24"/>
      <c r="N29" s="29">
        <v>15</v>
      </c>
      <c r="O29" s="30">
        <v>0.18388851464960687</v>
      </c>
      <c r="P29" s="31">
        <f t="shared" si="12"/>
        <v>13.5</v>
      </c>
      <c r="Q29" s="13">
        <f t="shared" si="13"/>
        <v>0.20432057183289651</v>
      </c>
      <c r="S29" s="32">
        <v>15</v>
      </c>
      <c r="T29" s="32">
        <v>0</v>
      </c>
      <c r="AG29" s="13"/>
      <c r="AH29" s="13"/>
      <c r="AI29" s="13"/>
      <c r="AK29" s="33">
        <v>16</v>
      </c>
      <c r="AL29" s="34">
        <v>0</v>
      </c>
      <c r="AM29" s="31"/>
      <c r="AN29" s="13"/>
      <c r="AP29">
        <v>6</v>
      </c>
      <c r="AQ29" s="13">
        <f t="shared" si="14"/>
        <v>0</v>
      </c>
      <c r="AS29" s="13"/>
      <c r="AT29" s="13"/>
    </row>
    <row r="30" spans="2:46" x14ac:dyDescent="0.25">
      <c r="B30" s="23" t="s">
        <v>121</v>
      </c>
      <c r="L30" s="24"/>
      <c r="N30" s="29">
        <v>16</v>
      </c>
      <c r="O30" s="30">
        <v>0.323259557608369</v>
      </c>
      <c r="P30" s="31">
        <f t="shared" si="12"/>
        <v>14.4</v>
      </c>
      <c r="Q30" s="13">
        <f t="shared" si="13"/>
        <v>0.35917728623152112</v>
      </c>
      <c r="S30" s="32">
        <v>16</v>
      </c>
      <c r="T30" s="32">
        <v>61</v>
      </c>
      <c r="AG30" s="13"/>
      <c r="AH30" s="13"/>
      <c r="AI30" s="13"/>
      <c r="AK30" s="33">
        <v>17</v>
      </c>
      <c r="AL30" s="34">
        <v>0</v>
      </c>
      <c r="AM30" s="31"/>
      <c r="AN30" s="13"/>
      <c r="AP30">
        <v>7</v>
      </c>
      <c r="AQ30" s="13">
        <f t="shared" si="14"/>
        <v>0</v>
      </c>
      <c r="AS30" s="13"/>
      <c r="AT30" s="13"/>
    </row>
    <row r="31" spans="2:46" x14ac:dyDescent="0.25">
      <c r="B31" s="23" t="s">
        <v>108</v>
      </c>
      <c r="L31" s="24"/>
      <c r="N31" s="29">
        <v>17</v>
      </c>
      <c r="O31" s="30">
        <v>0.54914933719245218</v>
      </c>
      <c r="P31" s="31">
        <f t="shared" si="12"/>
        <v>15.3</v>
      </c>
      <c r="Q31" s="13">
        <f t="shared" si="13"/>
        <v>0.61016593021383569</v>
      </c>
      <c r="S31" s="32">
        <v>17</v>
      </c>
      <c r="T31" s="32">
        <v>122</v>
      </c>
      <c r="AG31" s="13"/>
      <c r="AH31" s="13"/>
      <c r="AI31" s="13"/>
      <c r="AK31" s="33">
        <v>18</v>
      </c>
      <c r="AL31" s="34">
        <v>0</v>
      </c>
      <c r="AM31" s="31"/>
      <c r="AN31" s="13"/>
      <c r="AP31">
        <v>8</v>
      </c>
      <c r="AQ31" s="13">
        <f t="shared" si="14"/>
        <v>0</v>
      </c>
      <c r="AS31" s="13"/>
      <c r="AT31" s="13"/>
    </row>
    <row r="32" spans="2:46" x14ac:dyDescent="0.25">
      <c r="B32" s="23"/>
      <c r="C32" s="1"/>
      <c r="D32" s="1"/>
      <c r="E32" s="1"/>
      <c r="F32" s="1"/>
      <c r="G32" s="1"/>
      <c r="H32" s="1"/>
      <c r="I32" s="1"/>
      <c r="J32" s="1"/>
      <c r="K32" s="1"/>
      <c r="L32" s="24"/>
      <c r="N32" s="29">
        <v>18</v>
      </c>
      <c r="O32" s="30">
        <v>0.90504749141898644</v>
      </c>
      <c r="P32" s="31">
        <f t="shared" si="12"/>
        <v>16.2</v>
      </c>
      <c r="Q32" s="13">
        <f t="shared" si="13"/>
        <v>1.0056083237988738</v>
      </c>
      <c r="S32" s="32">
        <v>18</v>
      </c>
      <c r="T32" s="32">
        <v>183</v>
      </c>
      <c r="AG32" s="13"/>
      <c r="AH32" s="13"/>
      <c r="AI32" s="13"/>
      <c r="AK32" s="33">
        <v>19</v>
      </c>
      <c r="AL32" s="34">
        <v>0</v>
      </c>
      <c r="AM32" s="31"/>
      <c r="AN32" s="13"/>
      <c r="AP32">
        <v>9</v>
      </c>
      <c r="AQ32" s="13">
        <f t="shared" si="14"/>
        <v>0</v>
      </c>
      <c r="AS32" s="13"/>
      <c r="AT32" s="13"/>
    </row>
    <row r="33" spans="2:46" x14ac:dyDescent="0.25">
      <c r="B33" s="35"/>
      <c r="G33" s="36"/>
      <c r="L33" s="24"/>
      <c r="N33" s="29">
        <v>19</v>
      </c>
      <c r="O33" s="30">
        <v>1.4518364576883522</v>
      </c>
      <c r="P33" s="31">
        <f t="shared" si="12"/>
        <v>17.100000000000001</v>
      </c>
      <c r="Q33" s="13">
        <f t="shared" si="13"/>
        <v>1.6131516196537246</v>
      </c>
      <c r="S33" s="32">
        <v>19</v>
      </c>
      <c r="T33" s="32">
        <v>244</v>
      </c>
      <c r="AG33" s="13"/>
      <c r="AH33" s="13"/>
      <c r="AI33" s="13"/>
      <c r="AK33" s="33">
        <v>20</v>
      </c>
      <c r="AL33" s="34">
        <v>0</v>
      </c>
      <c r="AM33" s="31"/>
      <c r="AN33" s="13"/>
      <c r="AP33">
        <v>10</v>
      </c>
      <c r="AQ33" s="13">
        <f t="shared" si="14"/>
        <v>0</v>
      </c>
      <c r="AS33" s="13"/>
      <c r="AT33" s="13"/>
    </row>
    <row r="34" spans="2:46" x14ac:dyDescent="0.25">
      <c r="B34" s="35"/>
      <c r="C34" s="37"/>
      <c r="D34" s="36"/>
      <c r="E34" s="36"/>
      <c r="F34" s="38"/>
      <c r="G34" s="14"/>
      <c r="H34" s="39"/>
      <c r="I34" s="13"/>
      <c r="J34" s="40"/>
      <c r="K34" s="31"/>
      <c r="L34" s="24"/>
      <c r="N34" s="29">
        <v>20</v>
      </c>
      <c r="O34" s="30">
        <v>2.273180036467374</v>
      </c>
      <c r="P34" s="31">
        <f t="shared" si="12"/>
        <v>18</v>
      </c>
      <c r="Q34" s="13">
        <f t="shared" si="13"/>
        <v>2.5257555960748599</v>
      </c>
      <c r="S34" s="32">
        <v>20</v>
      </c>
      <c r="T34" s="32">
        <v>305</v>
      </c>
      <c r="AG34" s="13"/>
      <c r="AH34" s="13"/>
      <c r="AI34" s="13"/>
      <c r="AK34" s="33">
        <v>21</v>
      </c>
      <c r="AL34" s="34">
        <v>0</v>
      </c>
      <c r="AM34" s="31"/>
      <c r="AN34" s="13"/>
      <c r="AP34">
        <v>11</v>
      </c>
      <c r="AQ34" s="13">
        <f t="shared" si="14"/>
        <v>0</v>
      </c>
      <c r="AS34" s="13"/>
      <c r="AT34" s="13"/>
    </row>
    <row r="35" spans="2:46" x14ac:dyDescent="0.25">
      <c r="B35" s="35"/>
      <c r="C35" s="37"/>
      <c r="D35" s="36"/>
      <c r="E35" s="36"/>
      <c r="F35" s="38"/>
      <c r="G35" s="14"/>
      <c r="H35" s="39"/>
      <c r="I35" s="13"/>
      <c r="J35" s="40"/>
      <c r="K35" s="31"/>
      <c r="L35" s="24"/>
      <c r="N35" s="29">
        <v>21</v>
      </c>
      <c r="O35" s="30">
        <v>3.4821522435943861</v>
      </c>
      <c r="P35" s="31">
        <f t="shared" si="12"/>
        <v>18.900000000000002</v>
      </c>
      <c r="Q35" s="13">
        <f t="shared" si="13"/>
        <v>3.8690580484382067</v>
      </c>
      <c r="S35" s="32">
        <v>21</v>
      </c>
      <c r="T35" s="32">
        <v>366</v>
      </c>
      <c r="AG35" s="13"/>
      <c r="AH35" s="13"/>
      <c r="AI35" s="13"/>
      <c r="AK35" s="33">
        <v>22</v>
      </c>
      <c r="AL35" s="34">
        <v>0</v>
      </c>
      <c r="AM35" s="31"/>
      <c r="AN35" s="13"/>
      <c r="AP35">
        <v>12</v>
      </c>
      <c r="AQ35" s="13">
        <f t="shared" si="14"/>
        <v>0</v>
      </c>
      <c r="AS35" s="13"/>
      <c r="AT35" s="13"/>
    </row>
    <row r="36" spans="2:46" x14ac:dyDescent="0.25">
      <c r="B36" s="35"/>
      <c r="L36" s="24"/>
      <c r="N36" s="29">
        <v>22</v>
      </c>
      <c r="O36" s="30">
        <v>5.2293040312415329</v>
      </c>
      <c r="P36" s="31">
        <f t="shared" si="12"/>
        <v>19.8</v>
      </c>
      <c r="Q36" s="13">
        <f t="shared" si="13"/>
        <v>5.8103378124905918</v>
      </c>
      <c r="S36" s="32">
        <v>22</v>
      </c>
      <c r="T36" s="32">
        <v>427</v>
      </c>
      <c r="AG36" s="13"/>
      <c r="AH36" s="13"/>
      <c r="AI36" s="13"/>
      <c r="AK36" s="33">
        <v>23</v>
      </c>
      <c r="AL36" s="34">
        <v>0</v>
      </c>
      <c r="AM36" s="31"/>
      <c r="AN36" s="13"/>
      <c r="AP36">
        <v>13</v>
      </c>
      <c r="AQ36" s="13">
        <f t="shared" si="14"/>
        <v>0</v>
      </c>
      <c r="AS36" s="13"/>
      <c r="AT36" s="13"/>
    </row>
    <row r="37" spans="2:46" x14ac:dyDescent="0.25">
      <c r="B37" s="23"/>
      <c r="C37" s="1"/>
      <c r="D37" s="1"/>
      <c r="E37" s="1"/>
      <c r="F37" s="1"/>
      <c r="G37" s="1"/>
      <c r="I37" s="41"/>
      <c r="J37" s="42"/>
      <c r="K37" s="43"/>
      <c r="L37" s="24"/>
      <c r="N37" s="29">
        <v>23</v>
      </c>
      <c r="O37" s="30">
        <v>7.7123843974201165</v>
      </c>
      <c r="P37" s="31">
        <f t="shared" si="12"/>
        <v>20.7</v>
      </c>
      <c r="Q37" s="13">
        <f t="shared" si="13"/>
        <v>8.5693159971334634</v>
      </c>
      <c r="S37" s="32">
        <v>23</v>
      </c>
      <c r="T37" s="32">
        <v>567.27226943657604</v>
      </c>
      <c r="AG37" s="13"/>
      <c r="AH37" s="13"/>
      <c r="AI37" s="13"/>
      <c r="AK37" s="33">
        <v>24</v>
      </c>
      <c r="AL37" s="34">
        <v>0</v>
      </c>
      <c r="AM37" s="31"/>
      <c r="AN37" s="13"/>
      <c r="AP37">
        <v>14</v>
      </c>
      <c r="AQ37" s="13">
        <f t="shared" si="14"/>
        <v>0</v>
      </c>
      <c r="AS37" s="13"/>
      <c r="AT37" s="13"/>
    </row>
    <row r="38" spans="2:46" x14ac:dyDescent="0.25">
      <c r="B38" s="35"/>
      <c r="G38" s="13"/>
      <c r="L38" s="24"/>
      <c r="N38" s="29">
        <v>24</v>
      </c>
      <c r="O38" s="30">
        <v>11.187952077750509</v>
      </c>
      <c r="P38" s="31">
        <f t="shared" si="12"/>
        <v>21.6</v>
      </c>
      <c r="Q38" s="13">
        <f t="shared" si="13"/>
        <v>12.431057864167233</v>
      </c>
      <c r="S38" s="32">
        <v>24</v>
      </c>
      <c r="T38" s="32">
        <v>765.330028328612</v>
      </c>
      <c r="AG38" s="13"/>
      <c r="AH38" s="13"/>
      <c r="AI38" s="13"/>
      <c r="AK38" s="33">
        <v>25</v>
      </c>
      <c r="AL38" s="34">
        <v>0</v>
      </c>
      <c r="AM38" s="31"/>
      <c r="AN38" s="13"/>
      <c r="AP38">
        <v>15</v>
      </c>
      <c r="AQ38" s="13">
        <f t="shared" si="14"/>
        <v>0</v>
      </c>
      <c r="AS38" s="13"/>
      <c r="AT38" s="13"/>
    </row>
    <row r="39" spans="2:46" x14ac:dyDescent="0.25">
      <c r="B39" s="35"/>
      <c r="G39" s="13"/>
      <c r="J39" s="31"/>
      <c r="L39" s="24"/>
      <c r="N39" s="29">
        <v>25</v>
      </c>
      <c r="O39" s="30">
        <v>15.985134411568131</v>
      </c>
      <c r="P39" s="31">
        <f t="shared" si="12"/>
        <v>22.5</v>
      </c>
      <c r="Q39" s="13">
        <f t="shared" si="13"/>
        <v>17.761260457297922</v>
      </c>
      <c r="S39" s="44">
        <v>25</v>
      </c>
      <c r="T39" s="32">
        <v>963.38778722064797</v>
      </c>
      <c r="AE39" s="13"/>
      <c r="AF39" s="13"/>
      <c r="AG39" s="13"/>
      <c r="AH39" s="13"/>
      <c r="AI39" s="13"/>
      <c r="AK39" s="33">
        <v>26</v>
      </c>
      <c r="AL39" s="34">
        <v>0</v>
      </c>
      <c r="AM39" s="31"/>
      <c r="AN39" s="13"/>
      <c r="AP39">
        <v>16</v>
      </c>
      <c r="AQ39" s="13">
        <f t="shared" si="14"/>
        <v>0</v>
      </c>
      <c r="AS39" s="13"/>
      <c r="AT39" s="13"/>
    </row>
    <row r="40" spans="2:46" x14ac:dyDescent="0.25">
      <c r="B40" s="35"/>
      <c r="C40" s="13"/>
      <c r="D40" s="13"/>
      <c r="E40" s="31"/>
      <c r="F40" s="31"/>
      <c r="G40" s="13"/>
      <c r="L40" s="24"/>
      <c r="N40" s="29">
        <v>26</v>
      </c>
      <c r="O40" s="30">
        <v>22.521811088399076</v>
      </c>
      <c r="P40" s="31">
        <f t="shared" si="12"/>
        <v>23.400000000000002</v>
      </c>
      <c r="Q40" s="13">
        <f t="shared" si="13"/>
        <v>25.024234542665639</v>
      </c>
      <c r="S40" s="44">
        <v>26</v>
      </c>
      <c r="T40" s="32">
        <v>1161.4455461126799</v>
      </c>
      <c r="AE40" s="13"/>
      <c r="AF40" s="13"/>
      <c r="AG40" s="13"/>
      <c r="AH40" s="13"/>
      <c r="AI40" s="13"/>
      <c r="AK40" s="33">
        <v>27</v>
      </c>
      <c r="AL40" s="34">
        <v>0</v>
      </c>
      <c r="AM40" s="31"/>
      <c r="AN40" s="13"/>
      <c r="AP40">
        <v>17</v>
      </c>
      <c r="AQ40" s="13">
        <f t="shared" si="14"/>
        <v>0</v>
      </c>
      <c r="AS40" s="13"/>
      <c r="AT40" s="13"/>
    </row>
    <row r="41" spans="2:46" x14ac:dyDescent="0.25">
      <c r="B41" s="35"/>
      <c r="C41" s="13"/>
      <c r="D41" s="13"/>
      <c r="E41" s="31"/>
      <c r="F41" s="31"/>
      <c r="G41" s="13"/>
      <c r="L41" s="24"/>
      <c r="N41" s="29">
        <v>27</v>
      </c>
      <c r="O41" s="30">
        <v>31.323522302010939</v>
      </c>
      <c r="P41" s="31">
        <f t="shared" si="12"/>
        <v>24.3</v>
      </c>
      <c r="Q41" s="13">
        <f t="shared" si="13"/>
        <v>34.803913668901046</v>
      </c>
      <c r="S41" s="44">
        <v>27</v>
      </c>
      <c r="T41" s="32">
        <v>1359.50330500472</v>
      </c>
      <c r="AE41" s="13"/>
      <c r="AF41" s="13"/>
      <c r="AG41" s="13"/>
      <c r="AH41" s="13"/>
      <c r="AI41" s="13"/>
      <c r="AK41" s="33">
        <v>28</v>
      </c>
      <c r="AL41" s="34">
        <v>0</v>
      </c>
      <c r="AM41" s="31"/>
      <c r="AN41" s="13"/>
      <c r="AP41">
        <v>18</v>
      </c>
      <c r="AQ41" s="13">
        <f t="shared" si="14"/>
        <v>0</v>
      </c>
      <c r="AS41" s="13"/>
      <c r="AT41" s="13"/>
    </row>
    <row r="42" spans="2:46" x14ac:dyDescent="0.25"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7"/>
      <c r="N42" s="29">
        <v>28</v>
      </c>
      <c r="O42" s="30">
        <v>43.045423359700465</v>
      </c>
      <c r="P42" s="31">
        <f t="shared" si="12"/>
        <v>25.2</v>
      </c>
      <c r="Q42" s="13">
        <f t="shared" si="13"/>
        <v>47.828248177444962</v>
      </c>
      <c r="S42" s="44">
        <v>28</v>
      </c>
      <c r="T42" s="32">
        <v>1557.5610638967601</v>
      </c>
      <c r="AE42" s="13"/>
      <c r="AF42" s="13"/>
      <c r="AG42" s="13"/>
      <c r="AH42" s="13"/>
      <c r="AI42" s="13"/>
      <c r="AK42" s="33">
        <v>29</v>
      </c>
      <c r="AL42" s="34">
        <v>0</v>
      </c>
      <c r="AM42" s="31"/>
      <c r="AN42" s="13"/>
      <c r="AP42">
        <v>19</v>
      </c>
      <c r="AQ42" s="13">
        <f t="shared" si="14"/>
        <v>0</v>
      </c>
      <c r="AS42" s="13"/>
      <c r="AT42" s="13"/>
    </row>
    <row r="43" spans="2:46" x14ac:dyDescent="0.25">
      <c r="N43" s="29">
        <v>29</v>
      </c>
      <c r="O43" s="30">
        <v>58.49763100668595</v>
      </c>
      <c r="P43" s="31">
        <f t="shared" si="12"/>
        <v>26.1</v>
      </c>
      <c r="Q43" s="13">
        <f t="shared" si="13"/>
        <v>64.997367785206606</v>
      </c>
      <c r="S43" s="44">
        <v>29</v>
      </c>
      <c r="T43" s="32">
        <v>1755.6484350804501</v>
      </c>
      <c r="AE43" s="13"/>
      <c r="AF43" s="13"/>
      <c r="AG43" s="13"/>
      <c r="AH43" s="13"/>
      <c r="AI43" s="13"/>
      <c r="AK43" s="33">
        <v>30</v>
      </c>
      <c r="AL43" s="34">
        <v>0</v>
      </c>
      <c r="AM43" s="31"/>
      <c r="AN43" s="13"/>
      <c r="AP43">
        <v>20</v>
      </c>
      <c r="AQ43" s="13">
        <f t="shared" si="14"/>
        <v>0</v>
      </c>
      <c r="AS43" s="13"/>
      <c r="AT43" s="13"/>
    </row>
    <row r="44" spans="2:46" x14ac:dyDescent="0.25">
      <c r="N44" s="29">
        <v>30</v>
      </c>
      <c r="O44" s="30">
        <v>78.674330622290356</v>
      </c>
      <c r="P44" s="31">
        <f t="shared" si="12"/>
        <v>27</v>
      </c>
      <c r="Q44" s="13">
        <f t="shared" si="13"/>
        <v>87.415922913655947</v>
      </c>
      <c r="S44" s="44">
        <v>30</v>
      </c>
      <c r="T44" s="32">
        <v>2015.87878787879</v>
      </c>
      <c r="AE44" s="13"/>
      <c r="AF44" s="13"/>
      <c r="AG44" s="13"/>
      <c r="AH44" s="13"/>
      <c r="AI44" s="13"/>
      <c r="AK44" s="33"/>
      <c r="AL44" s="34"/>
      <c r="AM44" s="31"/>
      <c r="AN44" s="13"/>
      <c r="AP44">
        <v>21</v>
      </c>
      <c r="AQ44" s="13">
        <f t="shared" si="14"/>
        <v>0</v>
      </c>
    </row>
    <row r="45" spans="2:46" x14ac:dyDescent="0.25">
      <c r="N45" s="29">
        <v>31</v>
      </c>
      <c r="O45" s="30">
        <v>104.78703801924266</v>
      </c>
      <c r="P45" s="31">
        <f t="shared" si="12"/>
        <v>27.900000000000002</v>
      </c>
      <c r="Q45" s="13">
        <f t="shared" si="13"/>
        <v>116.43004224360295</v>
      </c>
      <c r="S45" s="44">
        <v>31</v>
      </c>
      <c r="T45" s="32">
        <v>2418.4949494949501</v>
      </c>
      <c r="AE45" s="13"/>
      <c r="AF45" s="13"/>
      <c r="AG45" s="13"/>
      <c r="AH45" s="13"/>
      <c r="AI45" s="13"/>
      <c r="AK45" s="33"/>
      <c r="AL45" s="34"/>
      <c r="AM45" s="31"/>
      <c r="AN45" s="13"/>
      <c r="AP45">
        <v>22</v>
      </c>
      <c r="AQ45" s="13">
        <f t="shared" si="14"/>
        <v>0</v>
      </c>
    </row>
    <row r="46" spans="2:46" x14ac:dyDescent="0.25">
      <c r="N46" s="29">
        <v>32</v>
      </c>
      <c r="O46" s="30">
        <v>138.30243482338346</v>
      </c>
      <c r="P46" s="31">
        <f t="shared" si="12"/>
        <v>28.8</v>
      </c>
      <c r="Q46" s="13">
        <f t="shared" si="13"/>
        <v>153.66937202598163</v>
      </c>
      <c r="S46" s="44">
        <v>32</v>
      </c>
      <c r="T46" s="32">
        <v>2821.1111111111099</v>
      </c>
      <c r="AE46" s="13"/>
      <c r="AF46" s="13"/>
      <c r="AG46" s="13"/>
      <c r="AH46" s="13"/>
      <c r="AI46" s="13"/>
      <c r="AK46" s="33"/>
      <c r="AL46" s="34"/>
      <c r="AM46" s="31"/>
      <c r="AN46" s="13"/>
      <c r="AP46">
        <v>23</v>
      </c>
      <c r="AQ46" s="13">
        <f t="shared" si="14"/>
        <v>0</v>
      </c>
    </row>
    <row r="47" spans="2:46" x14ac:dyDescent="0.25">
      <c r="N47" s="29">
        <v>33</v>
      </c>
      <c r="O47" s="30">
        <v>180.98522232217198</v>
      </c>
      <c r="P47" s="31">
        <f t="shared" si="12"/>
        <v>29.7</v>
      </c>
      <c r="Q47" s="13">
        <f t="shared" si="13"/>
        <v>201.09469146907998</v>
      </c>
      <c r="S47" s="44">
        <v>33</v>
      </c>
      <c r="T47" s="32">
        <v>3223.7272727272698</v>
      </c>
      <c r="AE47" s="13"/>
      <c r="AF47" s="13"/>
      <c r="AG47" s="13"/>
      <c r="AH47" s="13"/>
      <c r="AI47" s="13"/>
      <c r="AK47" s="33"/>
      <c r="AL47" s="34"/>
      <c r="AM47" s="31"/>
      <c r="AN47" s="13"/>
      <c r="AP47">
        <v>24</v>
      </c>
      <c r="AQ47" s="13">
        <f t="shared" si="14"/>
        <v>0</v>
      </c>
    </row>
    <row r="48" spans="2:46" x14ac:dyDescent="0.25">
      <c r="N48" s="29">
        <v>34</v>
      </c>
      <c r="O48" s="30">
        <v>234.94646524071428</v>
      </c>
      <c r="P48" s="31">
        <f t="shared" si="12"/>
        <v>30.6</v>
      </c>
      <c r="Q48" s="13">
        <f t="shared" si="13"/>
        <v>261.05162804523809</v>
      </c>
      <c r="S48" s="44">
        <v>34</v>
      </c>
      <c r="T48" s="32">
        <v>3626.3434343434301</v>
      </c>
      <c r="AE48" s="13"/>
      <c r="AF48" s="13"/>
      <c r="AG48" s="13"/>
      <c r="AH48" s="13"/>
      <c r="AI48" s="13"/>
      <c r="AK48" s="33"/>
      <c r="AL48" s="34"/>
      <c r="AM48" s="31"/>
      <c r="AN48" s="13"/>
      <c r="AP48">
        <v>25</v>
      </c>
      <c r="AQ48" s="13">
        <f t="shared" si="14"/>
        <v>0</v>
      </c>
    </row>
    <row r="49" spans="14:43" x14ac:dyDescent="0.25">
      <c r="N49" s="29">
        <v>35</v>
      </c>
      <c r="O49" s="30">
        <v>302.69792412790372</v>
      </c>
      <c r="P49" s="31">
        <f t="shared" si="12"/>
        <v>31.5</v>
      </c>
      <c r="Q49" s="13">
        <f t="shared" si="13"/>
        <v>336.33102680878193</v>
      </c>
      <c r="S49" s="44">
        <v>35</v>
      </c>
      <c r="T49" s="32">
        <v>4028.9595959595999</v>
      </c>
      <c r="AE49" s="13"/>
      <c r="AF49" s="13"/>
      <c r="AG49" s="13"/>
      <c r="AH49" s="13"/>
      <c r="AI49" s="13"/>
      <c r="AK49" s="33"/>
      <c r="AL49" s="34"/>
      <c r="AM49" s="31"/>
      <c r="AN49" s="13"/>
      <c r="AP49">
        <v>26</v>
      </c>
      <c r="AQ49" s="13">
        <f t="shared" si="14"/>
        <v>0</v>
      </c>
    </row>
    <row r="50" spans="14:43" x14ac:dyDescent="0.25">
      <c r="N50" s="29">
        <v>36</v>
      </c>
      <c r="O50" s="30">
        <v>387.21290290722385</v>
      </c>
      <c r="P50" s="31">
        <f t="shared" si="12"/>
        <v>32.4</v>
      </c>
      <c r="Q50" s="13">
        <f t="shared" si="13"/>
        <v>430.23655878580428</v>
      </c>
      <c r="S50" s="44">
        <v>36</v>
      </c>
      <c r="T50" s="32">
        <v>4431.5757575757598</v>
      </c>
      <c r="AE50" s="13"/>
      <c r="AF50" s="13"/>
      <c r="AG50" s="13"/>
      <c r="AH50" s="13"/>
      <c r="AI50" s="13"/>
      <c r="AK50" s="33"/>
      <c r="AL50" s="34"/>
      <c r="AM50" s="31"/>
      <c r="AN50" s="13"/>
      <c r="AP50">
        <v>27</v>
      </c>
      <c r="AQ50" s="13">
        <f t="shared" si="14"/>
        <v>61</v>
      </c>
    </row>
    <row r="51" spans="14:43" x14ac:dyDescent="0.25">
      <c r="N51" s="29">
        <v>37</v>
      </c>
      <c r="O51" s="30">
        <v>491.99416666158839</v>
      </c>
      <c r="P51" s="52">
        <f t="shared" si="12"/>
        <v>33.300000000000004</v>
      </c>
      <c r="Q51" s="53">
        <f t="shared" si="13"/>
        <v>546.66018517954262</v>
      </c>
      <c r="S51" s="44">
        <v>37</v>
      </c>
      <c r="T51" s="32">
        <v>4834.1919191919196</v>
      </c>
      <c r="AE51" s="13"/>
      <c r="AF51" s="13"/>
      <c r="AG51" s="13"/>
      <c r="AK51" s="33"/>
      <c r="AL51" s="34"/>
      <c r="AM51" s="31"/>
      <c r="AN51" s="13"/>
      <c r="AP51">
        <v>28</v>
      </c>
      <c r="AQ51" s="13">
        <f t="shared" si="14"/>
        <v>122</v>
      </c>
    </row>
    <row r="52" spans="14:43" x14ac:dyDescent="0.25">
      <c r="N52" s="29">
        <v>38</v>
      </c>
      <c r="O52" s="30">
        <v>621.14951387428857</v>
      </c>
      <c r="P52" s="31">
        <f t="shared" si="12"/>
        <v>34.200000000000003</v>
      </c>
      <c r="Q52" s="13">
        <f t="shared" si="13"/>
        <v>690.16612652698734</v>
      </c>
      <c r="S52" s="44">
        <v>38</v>
      </c>
      <c r="T52" s="32"/>
      <c r="AK52" s="33"/>
      <c r="AL52" s="34"/>
      <c r="AM52" s="31"/>
      <c r="AN52" s="13"/>
      <c r="AP52">
        <v>29</v>
      </c>
      <c r="AQ52" s="13">
        <f t="shared" si="14"/>
        <v>183</v>
      </c>
    </row>
    <row r="53" spans="14:43" x14ac:dyDescent="0.25">
      <c r="N53" s="29">
        <v>39</v>
      </c>
      <c r="O53" s="30">
        <v>779.47561713372124</v>
      </c>
      <c r="P53" s="31">
        <f t="shared" si="12"/>
        <v>35.1</v>
      </c>
      <c r="Q53" s="13">
        <f t="shared" si="13"/>
        <v>866.08401903746801</v>
      </c>
      <c r="S53" s="44">
        <v>39</v>
      </c>
      <c r="T53" s="32"/>
      <c r="AK53" s="33"/>
      <c r="AL53" s="34"/>
      <c r="AM53" s="31"/>
      <c r="AN53" s="13"/>
      <c r="AP53">
        <v>30</v>
      </c>
      <c r="AQ53" s="13">
        <f t="shared" si="14"/>
        <v>244</v>
      </c>
    </row>
    <row r="54" spans="14:43" x14ac:dyDescent="0.25">
      <c r="N54" s="29">
        <v>40</v>
      </c>
      <c r="O54" s="30">
        <v>972.55077672360358</v>
      </c>
      <c r="P54" s="31">
        <f t="shared" si="12"/>
        <v>36</v>
      </c>
      <c r="Q54" s="13">
        <f t="shared" si="13"/>
        <v>1080.6119741373373</v>
      </c>
      <c r="S54" s="44">
        <v>40</v>
      </c>
      <c r="T54" s="32"/>
      <c r="AK54" s="33"/>
      <c r="AL54" s="34"/>
      <c r="AQ54" s="13"/>
    </row>
    <row r="55" spans="14:43" x14ac:dyDescent="0.25">
      <c r="N55" s="29">
        <v>41</v>
      </c>
      <c r="O55" s="30">
        <v>1206.8372625580375</v>
      </c>
      <c r="P55" s="31">
        <f t="shared" si="12"/>
        <v>36.9</v>
      </c>
      <c r="Q55" s="13">
        <f t="shared" si="13"/>
        <v>1340.9302917311527</v>
      </c>
      <c r="S55" s="44">
        <v>41</v>
      </c>
      <c r="T55" s="32"/>
      <c r="AK55" s="33"/>
      <c r="AL55" s="34"/>
      <c r="AQ55" s="13"/>
    </row>
    <row r="56" spans="14:43" x14ac:dyDescent="0.25">
      <c r="N56" s="29">
        <v>42</v>
      </c>
      <c r="O56" s="30">
        <v>1489.7939515782568</v>
      </c>
      <c r="P56" s="31">
        <f t="shared" si="12"/>
        <v>37.800000000000004</v>
      </c>
      <c r="Q56" s="13">
        <f t="shared" si="13"/>
        <v>1655.3266128647297</v>
      </c>
      <c r="S56" s="44">
        <v>42</v>
      </c>
      <c r="T56" s="32"/>
      <c r="AK56" s="33"/>
      <c r="AL56" s="34"/>
      <c r="AQ56" s="13"/>
    </row>
    <row r="57" spans="14:43" x14ac:dyDescent="0.25">
      <c r="N57" s="29">
        <v>43</v>
      </c>
      <c r="O57" s="30">
        <v>1830</v>
      </c>
      <c r="P57" s="48">
        <f t="shared" si="12"/>
        <v>38.700000000000003</v>
      </c>
      <c r="Q57" s="46">
        <f t="shared" si="13"/>
        <v>2033.3333333333333</v>
      </c>
      <c r="S57" s="44">
        <v>43</v>
      </c>
      <c r="T57" s="32"/>
      <c r="AK57" s="33"/>
      <c r="AL57" s="34"/>
      <c r="AQ57" s="13"/>
    </row>
    <row r="58" spans="14:43" x14ac:dyDescent="0.25">
      <c r="N58" s="29">
        <v>44</v>
      </c>
      <c r="O58" s="30"/>
      <c r="P58" s="31">
        <f t="shared" si="12"/>
        <v>39.6</v>
      </c>
      <c r="Q58" s="13">
        <f t="shared" si="13"/>
        <v>0</v>
      </c>
      <c r="S58" s="44">
        <v>44</v>
      </c>
      <c r="T58" s="32"/>
      <c r="AK58" s="33"/>
      <c r="AL58" s="34"/>
      <c r="AQ58" s="13"/>
    </row>
    <row r="59" spans="14:43" x14ac:dyDescent="0.25">
      <c r="N59" s="29">
        <v>45</v>
      </c>
      <c r="O59" s="30"/>
      <c r="P59" s="52">
        <f t="shared" si="12"/>
        <v>40.5</v>
      </c>
      <c r="Q59" s="53">
        <f t="shared" si="13"/>
        <v>0</v>
      </c>
      <c r="S59" s="44">
        <v>45</v>
      </c>
      <c r="T59" s="32"/>
      <c r="AK59" s="33"/>
      <c r="AL59" s="34"/>
      <c r="AQ59" s="13"/>
    </row>
    <row r="60" spans="14:43" x14ac:dyDescent="0.25">
      <c r="N60" s="29">
        <v>46</v>
      </c>
      <c r="O60" s="30"/>
      <c r="P60" s="31">
        <f t="shared" si="12"/>
        <v>41.4</v>
      </c>
      <c r="Q60" s="13">
        <f t="shared" si="13"/>
        <v>0</v>
      </c>
      <c r="S60" s="44"/>
      <c r="T60" s="32"/>
      <c r="AK60" s="33"/>
      <c r="AL60" s="34"/>
      <c r="AQ60" s="13"/>
    </row>
    <row r="61" spans="14:43" x14ac:dyDescent="0.25">
      <c r="N61" s="29">
        <v>47</v>
      </c>
      <c r="O61" s="30"/>
      <c r="P61" s="31">
        <f t="shared" si="12"/>
        <v>42.300000000000004</v>
      </c>
      <c r="Q61" s="13">
        <f t="shared" si="13"/>
        <v>0</v>
      </c>
      <c r="S61" s="44"/>
      <c r="T61" s="32"/>
      <c r="AK61" s="33"/>
      <c r="AL61" s="34"/>
      <c r="AQ61" s="13"/>
    </row>
    <row r="62" spans="14:43" x14ac:dyDescent="0.25">
      <c r="N62" s="29">
        <v>48</v>
      </c>
      <c r="O62" s="30"/>
      <c r="P62" s="31">
        <f t="shared" si="12"/>
        <v>43.2</v>
      </c>
      <c r="Q62" s="13">
        <f t="shared" si="13"/>
        <v>0</v>
      </c>
      <c r="S62" s="44"/>
      <c r="T62" s="32"/>
      <c r="AK62" s="33"/>
      <c r="AL62" s="34"/>
      <c r="AQ62" s="13"/>
    </row>
    <row r="63" spans="14:43" x14ac:dyDescent="0.25">
      <c r="N63" s="29">
        <v>49</v>
      </c>
      <c r="O63" s="30"/>
      <c r="P63" s="31">
        <f t="shared" si="12"/>
        <v>44.1</v>
      </c>
      <c r="Q63" s="13">
        <f t="shared" si="13"/>
        <v>0</v>
      </c>
      <c r="S63" s="44"/>
      <c r="T63" s="32"/>
      <c r="AK63" s="33"/>
      <c r="AL63" s="34"/>
      <c r="AQ63" s="13"/>
    </row>
    <row r="64" spans="14:43" x14ac:dyDescent="0.25">
      <c r="N64" s="29">
        <v>50</v>
      </c>
      <c r="O64" s="30"/>
      <c r="P64" s="31">
        <f t="shared" si="12"/>
        <v>45</v>
      </c>
      <c r="Q64" s="13">
        <f t="shared" si="13"/>
        <v>0</v>
      </c>
      <c r="S64" s="44"/>
      <c r="T64" s="32"/>
      <c r="AQ64" s="13"/>
    </row>
    <row r="65" spans="43:43" x14ac:dyDescent="0.25">
      <c r="AQ65" s="13"/>
    </row>
    <row r="66" spans="43:43" x14ac:dyDescent="0.25">
      <c r="AQ66" s="13"/>
    </row>
    <row r="67" spans="43:43" x14ac:dyDescent="0.25">
      <c r="AQ67" s="13"/>
    </row>
    <row r="68" spans="43:43" x14ac:dyDescent="0.25">
      <c r="AQ68" s="13"/>
    </row>
    <row r="69" spans="43:43" x14ac:dyDescent="0.25">
      <c r="AQ69" s="13"/>
    </row>
    <row r="70" spans="43:43" x14ac:dyDescent="0.25">
      <c r="AQ70" s="13"/>
    </row>
    <row r="71" spans="43:43" x14ac:dyDescent="0.25">
      <c r="AQ71" s="13"/>
    </row>
    <row r="72" spans="43:43" x14ac:dyDescent="0.25">
      <c r="AQ72" s="13"/>
    </row>
    <row r="73" spans="43:43" x14ac:dyDescent="0.25">
      <c r="AQ73" s="13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8AA9-4374-46B2-B6FC-CD2AB0BCE21B}">
  <sheetPr>
    <tabColor theme="5"/>
  </sheetPr>
  <dimension ref="B2:J16"/>
  <sheetViews>
    <sheetView showGridLines="0" workbookViewId="0"/>
  </sheetViews>
  <sheetFormatPr defaultRowHeight="15" x14ac:dyDescent="0.25"/>
  <cols>
    <col min="1" max="1" width="3.7109375" customWidth="1"/>
    <col min="2" max="2" width="13.7109375" style="61" customWidth="1"/>
    <col min="4" max="4" width="13.7109375" style="61" customWidth="1"/>
    <col min="6" max="7" width="9.140625" style="61"/>
    <col min="8" max="8" width="12.28515625" style="61" customWidth="1"/>
    <col min="9" max="9" width="16.85546875" style="61" bestFit="1" customWidth="1"/>
    <col min="10" max="10" width="15.42578125" style="61" bestFit="1" customWidth="1"/>
  </cols>
  <sheetData>
    <row r="2" spans="2:10" x14ac:dyDescent="0.25">
      <c r="B2" s="94" t="s">
        <v>127</v>
      </c>
      <c r="C2" t="s">
        <v>128</v>
      </c>
      <c r="H2" s="62" t="s">
        <v>137</v>
      </c>
      <c r="I2" s="61" t="s">
        <v>138</v>
      </c>
    </row>
    <row r="3" spans="2:10" ht="15.75" thickBot="1" x14ac:dyDescent="0.3"/>
    <row r="4" spans="2:10" x14ac:dyDescent="0.25">
      <c r="B4" s="158" t="s">
        <v>129</v>
      </c>
      <c r="C4" s="159"/>
      <c r="D4" s="89" t="s">
        <v>130</v>
      </c>
      <c r="E4" s="63"/>
      <c r="F4" s="90" t="s">
        <v>139</v>
      </c>
      <c r="G4" s="90" t="s">
        <v>140</v>
      </c>
      <c r="H4" s="64"/>
      <c r="I4" s="91" t="s">
        <v>141</v>
      </c>
      <c r="J4" s="92" t="s">
        <v>142</v>
      </c>
    </row>
    <row r="5" spans="2:10" ht="15.75" thickBot="1" x14ac:dyDescent="0.3">
      <c r="B5" s="93"/>
      <c r="C5" s="69"/>
      <c r="D5" s="70"/>
      <c r="E5" s="69"/>
      <c r="F5" s="70"/>
      <c r="G5" s="70"/>
      <c r="H5" s="70"/>
      <c r="I5" s="70"/>
      <c r="J5" s="71"/>
    </row>
    <row r="6" spans="2:10" x14ac:dyDescent="0.25">
      <c r="B6" s="152" t="s">
        <v>131</v>
      </c>
      <c r="C6" s="153"/>
      <c r="D6" s="80" t="s">
        <v>132</v>
      </c>
      <c r="E6" s="81"/>
      <c r="F6" s="82">
        <v>38.5</v>
      </c>
      <c r="G6" s="82">
        <v>34.6</v>
      </c>
      <c r="H6" s="82"/>
      <c r="I6" s="82">
        <v>0</v>
      </c>
      <c r="J6" s="83">
        <v>2</v>
      </c>
    </row>
    <row r="7" spans="2:10" x14ac:dyDescent="0.25">
      <c r="B7" s="154"/>
      <c r="C7" s="155"/>
      <c r="D7" s="75" t="s">
        <v>133</v>
      </c>
      <c r="E7" s="76"/>
      <c r="F7" s="77">
        <v>38</v>
      </c>
      <c r="G7" s="77">
        <v>34</v>
      </c>
      <c r="H7" s="77"/>
      <c r="I7" s="77">
        <v>1</v>
      </c>
      <c r="J7" s="79">
        <v>1</v>
      </c>
    </row>
    <row r="8" spans="2:10" ht="15.75" thickBot="1" x14ac:dyDescent="0.3">
      <c r="B8" s="156"/>
      <c r="C8" s="157"/>
      <c r="D8" s="85" t="s">
        <v>134</v>
      </c>
      <c r="E8" s="86"/>
      <c r="F8" s="87">
        <v>37.700000000000003</v>
      </c>
      <c r="G8" s="87">
        <v>34</v>
      </c>
      <c r="H8" s="87"/>
      <c r="I8" s="87">
        <v>1</v>
      </c>
      <c r="J8" s="88">
        <v>1</v>
      </c>
    </row>
    <row r="9" spans="2:10" ht="15.75" thickBot="1" x14ac:dyDescent="0.3">
      <c r="B9" s="66"/>
      <c r="C9" s="67"/>
      <c r="D9" s="68"/>
      <c r="E9" s="69"/>
      <c r="F9" s="70"/>
      <c r="G9" s="70"/>
      <c r="H9" s="70"/>
      <c r="I9" s="70"/>
      <c r="J9" s="71"/>
    </row>
    <row r="10" spans="2:10" x14ac:dyDescent="0.25">
      <c r="B10" s="152" t="s">
        <v>135</v>
      </c>
      <c r="C10" s="153"/>
      <c r="D10" s="80" t="s">
        <v>132</v>
      </c>
      <c r="E10" s="81"/>
      <c r="F10" s="82">
        <v>38.1</v>
      </c>
      <c r="G10" s="82">
        <v>34.200000000000003</v>
      </c>
      <c r="H10" s="82"/>
      <c r="I10" s="82">
        <v>3</v>
      </c>
      <c r="J10" s="83">
        <v>3</v>
      </c>
    </row>
    <row r="11" spans="2:10" x14ac:dyDescent="0.25">
      <c r="B11" s="154"/>
      <c r="C11" s="155"/>
      <c r="D11" s="75" t="s">
        <v>133</v>
      </c>
      <c r="E11" s="76"/>
      <c r="F11" s="77">
        <v>38.4</v>
      </c>
      <c r="G11" s="77">
        <v>34.1</v>
      </c>
      <c r="H11" s="77"/>
      <c r="I11" s="77">
        <v>3</v>
      </c>
      <c r="J11" s="79">
        <v>1</v>
      </c>
    </row>
    <row r="12" spans="2:10" ht="15.75" thickBot="1" x14ac:dyDescent="0.3">
      <c r="B12" s="156"/>
      <c r="C12" s="157"/>
      <c r="D12" s="84" t="s">
        <v>134</v>
      </c>
      <c r="E12" s="72"/>
      <c r="F12" s="73">
        <v>38.200000000000003</v>
      </c>
      <c r="G12" s="73">
        <v>34</v>
      </c>
      <c r="H12" s="73"/>
      <c r="I12" s="73">
        <v>3</v>
      </c>
      <c r="J12" s="74">
        <v>1</v>
      </c>
    </row>
    <row r="13" spans="2:10" ht="15.75" thickBot="1" x14ac:dyDescent="0.3">
      <c r="B13" s="66"/>
      <c r="C13" s="67"/>
      <c r="D13" s="68"/>
      <c r="E13" s="69"/>
      <c r="F13" s="70"/>
      <c r="G13" s="70"/>
      <c r="H13" s="70"/>
      <c r="I13" s="70"/>
      <c r="J13" s="71"/>
    </row>
    <row r="14" spans="2:10" x14ac:dyDescent="0.25">
      <c r="B14" s="152" t="s">
        <v>136</v>
      </c>
      <c r="C14" s="153"/>
      <c r="D14" s="78" t="s">
        <v>132</v>
      </c>
      <c r="E14" s="63"/>
      <c r="F14" s="64">
        <v>38</v>
      </c>
      <c r="G14" s="64">
        <v>34.200000000000003</v>
      </c>
      <c r="H14" s="64"/>
      <c r="I14" s="64">
        <v>3</v>
      </c>
      <c r="J14" s="65">
        <v>3</v>
      </c>
    </row>
    <row r="15" spans="2:10" x14ac:dyDescent="0.25">
      <c r="B15" s="154"/>
      <c r="C15" s="155"/>
      <c r="D15" s="75" t="s">
        <v>133</v>
      </c>
      <c r="E15" s="76"/>
      <c r="F15" s="77">
        <v>38.1</v>
      </c>
      <c r="G15" s="77">
        <v>34</v>
      </c>
      <c r="H15" s="77"/>
      <c r="I15" s="77">
        <v>3</v>
      </c>
      <c r="J15" s="79">
        <v>1</v>
      </c>
    </row>
    <row r="16" spans="2:10" ht="15.75" thickBot="1" x14ac:dyDescent="0.3">
      <c r="B16" s="156"/>
      <c r="C16" s="157"/>
      <c r="D16" s="85" t="s">
        <v>134</v>
      </c>
      <c r="E16" s="86"/>
      <c r="F16" s="87">
        <v>38.1</v>
      </c>
      <c r="G16" s="87">
        <v>34.1</v>
      </c>
      <c r="H16" s="87"/>
      <c r="I16" s="87">
        <v>3</v>
      </c>
      <c r="J16" s="88">
        <v>1</v>
      </c>
    </row>
  </sheetData>
  <mergeCells count="4">
    <mergeCell ref="B6:C8"/>
    <mergeCell ref="B10:C12"/>
    <mergeCell ref="B14:C16"/>
    <mergeCell ref="B4:C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3F8F-11F8-4811-AC54-F9515C0B428D}">
  <dimension ref="B2:Q38"/>
  <sheetViews>
    <sheetView workbookViewId="0">
      <selection activeCell="Q10" sqref="Q10"/>
    </sheetView>
  </sheetViews>
  <sheetFormatPr defaultRowHeight="15" x14ac:dyDescent="0.25"/>
  <cols>
    <col min="1" max="1" width="3.7109375" customWidth="1"/>
    <col min="2" max="2" width="17.85546875" bestFit="1" customWidth="1"/>
    <col min="3" max="3" width="11.140625" style="60" customWidth="1"/>
    <col min="4" max="4" width="9" customWidth="1"/>
    <col min="7" max="7" width="11.28515625" customWidth="1"/>
    <col min="8" max="8" width="18.42578125" customWidth="1"/>
    <col min="10" max="10" width="11.5703125" bestFit="1" customWidth="1"/>
    <col min="11" max="11" width="10.140625" customWidth="1"/>
    <col min="12" max="12" width="19" customWidth="1"/>
    <col min="16" max="16" width="10.7109375" customWidth="1"/>
    <col min="17" max="17" width="12.42578125" customWidth="1"/>
  </cols>
  <sheetData>
    <row r="2" spans="2:17" x14ac:dyDescent="0.25">
      <c r="B2" s="101" t="s">
        <v>149</v>
      </c>
      <c r="C2" s="185" t="s">
        <v>158</v>
      </c>
      <c r="D2" s="186"/>
      <c r="E2" s="182" t="s">
        <v>151</v>
      </c>
      <c r="F2" s="183"/>
      <c r="G2" s="172" t="s">
        <v>153</v>
      </c>
      <c r="H2" s="174" t="s">
        <v>167</v>
      </c>
      <c r="I2" s="182" t="s">
        <v>154</v>
      </c>
      <c r="J2" s="184"/>
      <c r="K2" s="104" t="s">
        <v>155</v>
      </c>
      <c r="L2" s="178" t="s">
        <v>168</v>
      </c>
    </row>
    <row r="3" spans="2:17" x14ac:dyDescent="0.25">
      <c r="B3" s="25"/>
      <c r="C3" s="105" t="s">
        <v>159</v>
      </c>
      <c r="D3" s="106" t="s">
        <v>160</v>
      </c>
      <c r="E3" s="104" t="s">
        <v>152</v>
      </c>
      <c r="F3" s="109" t="s">
        <v>92</v>
      </c>
      <c r="G3" s="173"/>
      <c r="H3" s="175"/>
      <c r="I3" s="104" t="s">
        <v>152</v>
      </c>
      <c r="J3" s="104" t="s">
        <v>92</v>
      </c>
      <c r="K3" s="103"/>
      <c r="L3" s="179"/>
    </row>
    <row r="4" spans="2:17" x14ac:dyDescent="0.25">
      <c r="B4" s="114" t="s">
        <v>150</v>
      </c>
      <c r="C4" s="115"/>
      <c r="D4" s="18"/>
      <c r="E4" s="111" t="s">
        <v>166</v>
      </c>
      <c r="F4" s="18"/>
      <c r="G4" s="18"/>
      <c r="H4" s="18"/>
      <c r="I4" s="111" t="s">
        <v>165</v>
      </c>
      <c r="J4" s="18"/>
      <c r="K4" s="18"/>
      <c r="L4" s="19"/>
    </row>
    <row r="5" spans="2:17" x14ac:dyDescent="0.25">
      <c r="B5" s="116" t="s">
        <v>156</v>
      </c>
      <c r="C5" s="117">
        <v>65</v>
      </c>
      <c r="D5" s="117">
        <v>85</v>
      </c>
      <c r="E5" s="70">
        <v>15</v>
      </c>
      <c r="F5" s="70">
        <v>0</v>
      </c>
      <c r="G5" s="118">
        <v>-9.4</v>
      </c>
      <c r="H5" s="177">
        <f>(E6-E5)/(G6-G5)</f>
        <v>1.2167344567112144</v>
      </c>
      <c r="I5" s="70">
        <v>27</v>
      </c>
      <c r="J5" s="70">
        <v>0</v>
      </c>
      <c r="K5" s="118">
        <v>0.39</v>
      </c>
      <c r="L5" s="171">
        <f>(I6-I5)/(K6-K5)</f>
        <v>0.72490167667149652</v>
      </c>
    </row>
    <row r="6" spans="2:17" ht="15.75" thickBot="1" x14ac:dyDescent="0.3">
      <c r="B6" s="35" t="s">
        <v>157</v>
      </c>
      <c r="C6" s="117">
        <v>43.7</v>
      </c>
      <c r="D6" s="117">
        <v>30.6</v>
      </c>
      <c r="E6" s="70">
        <v>-5.94</v>
      </c>
      <c r="F6" s="117">
        <v>1590</v>
      </c>
      <c r="G6" s="70">
        <v>-26.61</v>
      </c>
      <c r="H6" s="177"/>
      <c r="I6" s="70">
        <v>-8.02</v>
      </c>
      <c r="J6" s="117">
        <v>1650</v>
      </c>
      <c r="K6" s="70">
        <v>-47.92</v>
      </c>
      <c r="L6" s="171"/>
    </row>
    <row r="7" spans="2:17" x14ac:dyDescent="0.25">
      <c r="B7" s="35"/>
      <c r="C7" s="119"/>
      <c r="D7" s="70"/>
      <c r="E7" s="70"/>
      <c r="F7" s="70"/>
      <c r="G7" s="70"/>
      <c r="H7" s="70"/>
      <c r="I7" s="70"/>
      <c r="J7" s="70"/>
      <c r="K7" s="70"/>
      <c r="L7" s="120"/>
      <c r="N7" s="166" t="s">
        <v>163</v>
      </c>
      <c r="O7" s="167"/>
      <c r="P7" s="168" t="s">
        <v>164</v>
      </c>
      <c r="Q7" s="169"/>
    </row>
    <row r="8" spans="2:17" x14ac:dyDescent="0.25">
      <c r="B8" s="187" t="s">
        <v>161</v>
      </c>
      <c r="C8" s="164"/>
      <c r="D8" s="164"/>
      <c r="E8" s="160">
        <v>-7</v>
      </c>
      <c r="F8" s="162">
        <f>F6</f>
        <v>1590</v>
      </c>
      <c r="G8" s="164"/>
      <c r="H8" s="180" t="s">
        <v>169</v>
      </c>
      <c r="I8" s="160">
        <v>-12</v>
      </c>
      <c r="J8" s="162">
        <f>J6/L5*0.9</f>
        <v>2048.5536836093665</v>
      </c>
      <c r="K8" s="164"/>
      <c r="L8" s="122"/>
      <c r="N8" s="66" t="s">
        <v>129</v>
      </c>
      <c r="O8" s="68" t="s">
        <v>130</v>
      </c>
      <c r="P8" s="68" t="s">
        <v>129</v>
      </c>
      <c r="Q8" s="107" t="s">
        <v>130</v>
      </c>
    </row>
    <row r="9" spans="2:17" ht="18" customHeight="1" thickBot="1" x14ac:dyDescent="0.3">
      <c r="B9" s="188"/>
      <c r="C9" s="165"/>
      <c r="D9" s="165"/>
      <c r="E9" s="161"/>
      <c r="F9" s="163"/>
      <c r="G9" s="165"/>
      <c r="H9" s="181"/>
      <c r="I9" s="161"/>
      <c r="J9" s="163"/>
      <c r="K9" s="165"/>
      <c r="L9" s="124"/>
      <c r="N9" s="112">
        <f>E5*P9</f>
        <v>17.676767676767675</v>
      </c>
      <c r="O9" s="113">
        <f>I5*Q9</f>
        <v>40.399002493765586</v>
      </c>
      <c r="P9" s="108">
        <f>E8/E6</f>
        <v>1.1784511784511784</v>
      </c>
      <c r="Q9" s="110">
        <f>I8/I6</f>
        <v>1.4962593516209477</v>
      </c>
    </row>
    <row r="10" spans="2:17" x14ac:dyDescent="0.25">
      <c r="C10" s="100"/>
      <c r="D10" s="61"/>
      <c r="E10" s="97"/>
      <c r="F10" s="97"/>
      <c r="G10" s="61"/>
      <c r="H10" s="61"/>
      <c r="I10" s="97"/>
      <c r="J10" s="97"/>
      <c r="K10" s="61"/>
      <c r="L10" s="61"/>
      <c r="N10">
        <f>(G6-G5)*1.2-E8</f>
        <v>-13.652000000000001</v>
      </c>
      <c r="O10">
        <f>(K6-K5)*0.9-I8</f>
        <v>-31.479000000000006</v>
      </c>
    </row>
    <row r="11" spans="2:17" x14ac:dyDescent="0.25">
      <c r="B11" s="98" t="s">
        <v>162</v>
      </c>
      <c r="C11" s="99"/>
    </row>
    <row r="12" spans="2:17" x14ac:dyDescent="0.25">
      <c r="B12" s="125" t="s">
        <v>156</v>
      </c>
      <c r="C12" s="126">
        <v>60</v>
      </c>
      <c r="D12" s="126">
        <v>85</v>
      </c>
      <c r="E12" s="102">
        <v>15</v>
      </c>
      <c r="F12" s="102">
        <v>0</v>
      </c>
      <c r="G12" s="127">
        <v>-14.39</v>
      </c>
      <c r="H12" s="176">
        <f>(E13-E12)/(G13-G12)</f>
        <v>1.2224757558471191</v>
      </c>
      <c r="I12" s="102">
        <v>27</v>
      </c>
      <c r="J12" s="102">
        <v>0</v>
      </c>
      <c r="K12" s="127">
        <v>0.39</v>
      </c>
      <c r="L12" s="170">
        <f>(I13-I12)/(K13-K12)</f>
        <v>0.72551897672468024</v>
      </c>
    </row>
    <row r="13" spans="2:17" ht="15.75" thickBot="1" x14ac:dyDescent="0.3">
      <c r="B13" s="35" t="s">
        <v>157</v>
      </c>
      <c r="C13" s="117">
        <v>37.299999999999997</v>
      </c>
      <c r="D13" s="117">
        <v>31.5</v>
      </c>
      <c r="E13" s="70">
        <v>-6.43</v>
      </c>
      <c r="F13" s="117">
        <v>2000</v>
      </c>
      <c r="G13" s="70">
        <v>-31.92</v>
      </c>
      <c r="H13" s="177"/>
      <c r="I13" s="70">
        <v>-7.6</v>
      </c>
      <c r="J13" s="117">
        <v>1560</v>
      </c>
      <c r="K13" s="70">
        <v>-47.3</v>
      </c>
      <c r="L13" s="171"/>
    </row>
    <row r="14" spans="2:17" x14ac:dyDescent="0.25">
      <c r="B14" s="35"/>
      <c r="C14" s="119"/>
      <c r="D14" s="70"/>
      <c r="E14" s="70"/>
      <c r="F14" s="70"/>
      <c r="G14" s="70"/>
      <c r="H14" s="70"/>
      <c r="I14" s="70"/>
      <c r="J14" s="70"/>
      <c r="K14" s="70"/>
      <c r="L14" s="120"/>
      <c r="N14" s="166" t="s">
        <v>163</v>
      </c>
      <c r="O14" s="167"/>
      <c r="P14" s="168" t="s">
        <v>164</v>
      </c>
      <c r="Q14" s="169"/>
    </row>
    <row r="15" spans="2:17" x14ac:dyDescent="0.25">
      <c r="B15" s="187" t="s">
        <v>161</v>
      </c>
      <c r="C15" s="164"/>
      <c r="D15" s="164"/>
      <c r="E15" s="160">
        <v>-8</v>
      </c>
      <c r="F15" s="162">
        <f>F13</f>
        <v>2000</v>
      </c>
      <c r="G15" s="164"/>
      <c r="H15" s="121"/>
      <c r="I15" s="160">
        <v>-11</v>
      </c>
      <c r="J15" s="162">
        <f>J13/L5*0.9</f>
        <v>1936.8143917761281</v>
      </c>
      <c r="K15" s="164"/>
      <c r="L15" s="122"/>
      <c r="N15" s="66" t="s">
        <v>129</v>
      </c>
      <c r="O15" s="68" t="s">
        <v>130</v>
      </c>
      <c r="P15" s="68" t="s">
        <v>129</v>
      </c>
      <c r="Q15" s="107" t="s">
        <v>130</v>
      </c>
    </row>
    <row r="16" spans="2:17" ht="15.75" thickBot="1" x14ac:dyDescent="0.3">
      <c r="B16" s="188"/>
      <c r="C16" s="165"/>
      <c r="D16" s="165"/>
      <c r="E16" s="161"/>
      <c r="F16" s="163"/>
      <c r="G16" s="165"/>
      <c r="H16" s="123"/>
      <c r="I16" s="161"/>
      <c r="J16" s="163"/>
      <c r="K16" s="165"/>
      <c r="L16" s="124"/>
      <c r="N16" s="112">
        <f>E12*P16</f>
        <v>18.662519440124417</v>
      </c>
      <c r="O16" s="113">
        <f>I12*Q16</f>
        <v>39.078947368421055</v>
      </c>
      <c r="P16" s="108">
        <f>E15/E13</f>
        <v>1.2441679626749611</v>
      </c>
      <c r="Q16" s="110">
        <f>I15/I13</f>
        <v>1.4473684210526316</v>
      </c>
    </row>
    <row r="17" spans="3:15" x14ac:dyDescent="0.25">
      <c r="C17" s="100"/>
      <c r="D17" s="61"/>
      <c r="E17" s="61"/>
      <c r="F17" s="61"/>
      <c r="G17" s="61"/>
      <c r="H17" s="61"/>
      <c r="I17" s="61"/>
      <c r="J17" s="61"/>
      <c r="K17" s="61"/>
      <c r="L17" s="61"/>
      <c r="N17">
        <f>(G13-G12)*1.2-E15</f>
        <v>-13.036000000000001</v>
      </c>
      <c r="O17">
        <f>(K13-K12)*0.9-I15</f>
        <v>-31.920999999999999</v>
      </c>
    </row>
    <row r="18" spans="3:15" x14ac:dyDescent="0.25">
      <c r="C18" s="100"/>
      <c r="D18" s="61"/>
      <c r="E18" s="61"/>
      <c r="F18" s="61"/>
      <c r="G18" s="61"/>
      <c r="H18" s="61"/>
      <c r="I18" s="61"/>
      <c r="J18" s="61"/>
      <c r="K18" s="61"/>
      <c r="L18" s="61"/>
    </row>
    <row r="19" spans="3:15" x14ac:dyDescent="0.25">
      <c r="C19" s="100"/>
      <c r="D19" s="61"/>
      <c r="E19" s="61"/>
      <c r="F19" s="61"/>
      <c r="G19" s="61"/>
      <c r="H19" s="61"/>
      <c r="I19" s="61"/>
      <c r="J19" s="61"/>
      <c r="K19" s="61"/>
      <c r="L19" s="61"/>
    </row>
    <row r="20" spans="3:15" x14ac:dyDescent="0.25">
      <c r="C20" s="100"/>
      <c r="D20" s="61"/>
      <c r="E20" s="61"/>
      <c r="F20" s="61"/>
      <c r="G20" s="61"/>
      <c r="H20" s="61"/>
      <c r="I20" s="61"/>
      <c r="J20" s="61"/>
      <c r="K20" s="61"/>
      <c r="L20" s="61"/>
    </row>
    <row r="21" spans="3:15" x14ac:dyDescent="0.25">
      <c r="C21" s="100"/>
      <c r="D21" s="61"/>
      <c r="E21" s="61"/>
      <c r="F21" s="61"/>
      <c r="G21" s="61"/>
      <c r="H21" s="61"/>
      <c r="I21" s="61"/>
      <c r="J21" s="61"/>
      <c r="K21" s="61"/>
      <c r="L21" s="61"/>
    </row>
    <row r="22" spans="3:15" x14ac:dyDescent="0.25">
      <c r="C22" s="100"/>
      <c r="D22" s="61"/>
      <c r="E22" s="61"/>
      <c r="F22" s="61"/>
      <c r="G22" s="61"/>
      <c r="H22" s="61"/>
      <c r="I22" s="61"/>
      <c r="J22" s="61"/>
      <c r="K22" s="61"/>
      <c r="L22" s="61"/>
    </row>
    <row r="23" spans="3:15" x14ac:dyDescent="0.25">
      <c r="C23" s="100"/>
      <c r="D23" s="61"/>
      <c r="E23" s="61"/>
      <c r="F23" s="61"/>
      <c r="G23" s="61"/>
      <c r="H23" s="61"/>
      <c r="I23" s="61"/>
      <c r="J23" s="61"/>
      <c r="K23" s="61"/>
      <c r="L23" s="61"/>
    </row>
    <row r="24" spans="3:15" x14ac:dyDescent="0.25">
      <c r="C24" s="100"/>
      <c r="D24" s="61"/>
      <c r="E24" s="61"/>
      <c r="F24" s="61"/>
      <c r="G24" s="61"/>
      <c r="H24" s="61"/>
      <c r="I24" s="61"/>
      <c r="J24" s="61"/>
      <c r="K24" s="61"/>
      <c r="L24" s="61"/>
    </row>
    <row r="25" spans="3:15" x14ac:dyDescent="0.25">
      <c r="C25" s="100"/>
      <c r="D25" s="61"/>
      <c r="E25" s="61"/>
      <c r="F25" s="61"/>
      <c r="G25" s="61"/>
      <c r="H25" s="61"/>
      <c r="I25" s="61"/>
      <c r="J25" s="61"/>
      <c r="K25" s="61"/>
      <c r="L25" s="61"/>
    </row>
    <row r="26" spans="3:15" x14ac:dyDescent="0.25">
      <c r="C26" s="100"/>
      <c r="D26" s="61"/>
      <c r="E26" s="61"/>
      <c r="F26" s="61"/>
      <c r="G26" s="61"/>
      <c r="H26" s="61"/>
      <c r="I26" s="61"/>
      <c r="J26" s="61"/>
      <c r="K26" s="61"/>
      <c r="L26" s="61"/>
    </row>
    <row r="27" spans="3:15" x14ac:dyDescent="0.25">
      <c r="C27" s="100"/>
      <c r="D27" s="61"/>
      <c r="E27" s="61"/>
      <c r="F27" s="61"/>
      <c r="G27" s="61"/>
      <c r="H27" s="61"/>
      <c r="I27" s="61"/>
      <c r="J27" s="61"/>
      <c r="K27" s="61"/>
      <c r="L27" s="61"/>
    </row>
    <row r="28" spans="3:15" x14ac:dyDescent="0.25">
      <c r="C28" s="100"/>
      <c r="D28" s="61"/>
      <c r="E28" s="61"/>
      <c r="F28" s="61"/>
      <c r="G28" s="61"/>
      <c r="H28" s="61"/>
      <c r="I28" s="61"/>
      <c r="J28" s="61"/>
      <c r="K28" s="61"/>
      <c r="L28" s="61"/>
    </row>
    <row r="29" spans="3:15" x14ac:dyDescent="0.25">
      <c r="C29" s="100"/>
      <c r="D29" s="61"/>
      <c r="E29" s="61"/>
      <c r="F29" s="61"/>
      <c r="G29" s="61"/>
      <c r="H29" s="61"/>
      <c r="I29" s="61"/>
      <c r="J29" s="61"/>
      <c r="K29" s="61"/>
      <c r="L29" s="61"/>
    </row>
    <row r="30" spans="3:15" x14ac:dyDescent="0.25">
      <c r="C30" s="100"/>
      <c r="D30" s="61"/>
      <c r="E30" s="61"/>
      <c r="F30" s="61"/>
      <c r="G30" s="61"/>
      <c r="H30" s="61"/>
      <c r="I30" s="61"/>
      <c r="J30" s="61"/>
      <c r="K30" s="61"/>
      <c r="L30" s="61"/>
    </row>
    <row r="31" spans="3:15" x14ac:dyDescent="0.25">
      <c r="C31" s="100"/>
      <c r="D31" s="61"/>
      <c r="E31" s="61"/>
      <c r="F31" s="61"/>
      <c r="G31" s="61"/>
      <c r="H31" s="61"/>
      <c r="I31" s="61"/>
      <c r="J31" s="61"/>
      <c r="K31" s="61"/>
      <c r="L31" s="61"/>
    </row>
    <row r="32" spans="3:15" x14ac:dyDescent="0.25">
      <c r="C32" s="100"/>
      <c r="D32" s="61"/>
      <c r="E32" s="61"/>
      <c r="F32" s="61"/>
      <c r="G32" s="61"/>
      <c r="H32" s="61"/>
      <c r="I32" s="61"/>
      <c r="J32" s="61"/>
      <c r="K32" s="61"/>
      <c r="L32" s="61"/>
    </row>
    <row r="33" spans="3:12" x14ac:dyDescent="0.25">
      <c r="C33" s="100"/>
      <c r="D33" s="61"/>
      <c r="E33" s="61"/>
      <c r="F33" s="61"/>
      <c r="G33" s="61"/>
      <c r="H33" s="61"/>
      <c r="I33" s="61"/>
      <c r="J33" s="61"/>
      <c r="K33" s="61"/>
      <c r="L33" s="61"/>
    </row>
    <row r="34" spans="3:12" x14ac:dyDescent="0.25">
      <c r="C34" s="100"/>
      <c r="D34" s="61"/>
      <c r="E34" s="61"/>
      <c r="F34" s="61"/>
      <c r="G34" s="61"/>
      <c r="H34" s="61"/>
      <c r="I34" s="61"/>
      <c r="J34" s="61"/>
      <c r="K34" s="61"/>
      <c r="L34" s="61"/>
    </row>
    <row r="35" spans="3:12" x14ac:dyDescent="0.25">
      <c r="C35" s="100"/>
      <c r="D35" s="61"/>
      <c r="E35" s="61"/>
      <c r="F35" s="61"/>
      <c r="G35" s="61"/>
      <c r="H35" s="61"/>
      <c r="I35" s="61"/>
      <c r="J35" s="61"/>
      <c r="K35" s="61"/>
      <c r="L35" s="61"/>
    </row>
    <row r="36" spans="3:12" x14ac:dyDescent="0.25">
      <c r="C36" s="100"/>
      <c r="D36" s="61"/>
      <c r="E36" s="61"/>
      <c r="F36" s="61"/>
      <c r="G36" s="61"/>
      <c r="H36" s="61"/>
      <c r="I36" s="61"/>
      <c r="J36" s="61"/>
      <c r="K36" s="61"/>
      <c r="L36" s="61"/>
    </row>
    <row r="37" spans="3:12" x14ac:dyDescent="0.25">
      <c r="C37" s="100"/>
      <c r="D37" s="61"/>
      <c r="E37" s="61"/>
      <c r="F37" s="61"/>
      <c r="G37" s="61"/>
      <c r="H37" s="61"/>
      <c r="I37" s="61"/>
      <c r="J37" s="61"/>
      <c r="K37" s="61"/>
      <c r="L37" s="61"/>
    </row>
    <row r="38" spans="3:12" x14ac:dyDescent="0.25">
      <c r="C38" s="100"/>
      <c r="D38" s="61"/>
      <c r="E38" s="61"/>
      <c r="F38" s="61"/>
      <c r="G38" s="61"/>
      <c r="H38" s="61"/>
      <c r="I38" s="61"/>
      <c r="J38" s="61"/>
      <c r="K38" s="61"/>
      <c r="L38" s="61"/>
    </row>
  </sheetData>
  <mergeCells count="33">
    <mergeCell ref="G15:G16"/>
    <mergeCell ref="E2:F2"/>
    <mergeCell ref="I2:J2"/>
    <mergeCell ref="C2:D2"/>
    <mergeCell ref="B8:B9"/>
    <mergeCell ref="C8:C9"/>
    <mergeCell ref="D8:D9"/>
    <mergeCell ref="E8:E9"/>
    <mergeCell ref="F8:F9"/>
    <mergeCell ref="G8:G9"/>
    <mergeCell ref="I8:I9"/>
    <mergeCell ref="B15:B16"/>
    <mergeCell ref="C15:C16"/>
    <mergeCell ref="D15:D16"/>
    <mergeCell ref="E15:E16"/>
    <mergeCell ref="F15:F16"/>
    <mergeCell ref="G2:G3"/>
    <mergeCell ref="H2:H3"/>
    <mergeCell ref="H12:H13"/>
    <mergeCell ref="H5:H6"/>
    <mergeCell ref="L2:L3"/>
    <mergeCell ref="J8:J9"/>
    <mergeCell ref="K8:K9"/>
    <mergeCell ref="L5:L6"/>
    <mergeCell ref="H8:H9"/>
    <mergeCell ref="I15:I16"/>
    <mergeCell ref="J15:J16"/>
    <mergeCell ref="K15:K16"/>
    <mergeCell ref="N7:O7"/>
    <mergeCell ref="P7:Q7"/>
    <mergeCell ref="L12:L13"/>
    <mergeCell ref="N14:O14"/>
    <mergeCell ref="P14:Q1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075D-3E0E-477A-B440-AACF19964DD4}">
  <sheetPr>
    <tabColor rgb="FFFFC000"/>
  </sheetPr>
  <dimension ref="B2:AZ108"/>
  <sheetViews>
    <sheetView showGridLines="0" tabSelected="1" zoomScale="85" zoomScaleNormal="85" workbookViewId="0"/>
  </sheetViews>
  <sheetFormatPr defaultRowHeight="15" x14ac:dyDescent="0.25"/>
  <cols>
    <col min="1" max="1" width="3.7109375" customWidth="1"/>
    <col min="2" max="2" width="15" customWidth="1"/>
    <col min="3" max="6" width="9.7109375" customWidth="1"/>
    <col min="7" max="7" width="11.140625" bestFit="1" customWidth="1"/>
    <col min="8" max="9" width="9.7109375" customWidth="1"/>
    <col min="10" max="10" width="11.28515625" bestFit="1" customWidth="1"/>
    <col min="11" max="11" width="15.7109375" bestFit="1" customWidth="1"/>
    <col min="12" max="12" width="9.7109375" customWidth="1"/>
    <col min="13" max="13" width="9.42578125" customWidth="1"/>
    <col min="14" max="14" width="11.42578125" bestFit="1" customWidth="1"/>
    <col min="15" max="15" width="11.140625" bestFit="1" customWidth="1"/>
    <col min="16" max="16" width="11.42578125" bestFit="1" customWidth="1"/>
    <col min="17" max="17" width="10.85546875" bestFit="1" customWidth="1"/>
    <col min="18" max="25" width="9.7109375" customWidth="1"/>
    <col min="26" max="26" width="12.28515625" bestFit="1" customWidth="1"/>
    <col min="27" max="27" width="12.85546875" bestFit="1" customWidth="1"/>
    <col min="28" max="28" width="13.85546875" bestFit="1" customWidth="1"/>
    <col min="29" max="29" width="13.42578125" bestFit="1" customWidth="1"/>
    <col min="30" max="30" width="13.5703125" bestFit="1" customWidth="1"/>
    <col min="31" max="31" width="13.85546875" bestFit="1" customWidth="1"/>
    <col min="32" max="32" width="19.140625" bestFit="1" customWidth="1"/>
    <col min="33" max="33" width="9.7109375" customWidth="1"/>
    <col min="34" max="34" width="31.5703125" bestFit="1" customWidth="1"/>
    <col min="35" max="35" width="16.140625" bestFit="1" customWidth="1"/>
    <col min="36" max="36" width="12.28515625" bestFit="1" customWidth="1"/>
    <col min="37" max="37" width="9.7109375" customWidth="1"/>
    <col min="42" max="42" width="11.42578125" bestFit="1" customWidth="1"/>
  </cols>
  <sheetData>
    <row r="2" spans="2:49" x14ac:dyDescent="0.25">
      <c r="B2" s="1" t="s">
        <v>0</v>
      </c>
    </row>
    <row r="3" spans="2:49" ht="15.75" thickBot="1" x14ac:dyDescent="0.3"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J3" s="3" t="s">
        <v>9</v>
      </c>
      <c r="K3" s="4" t="s">
        <v>10</v>
      </c>
      <c r="L3" s="6" t="s">
        <v>11</v>
      </c>
      <c r="M3" s="6" t="s">
        <v>12</v>
      </c>
      <c r="N3" s="7" t="s">
        <v>13</v>
      </c>
      <c r="O3" s="3" t="s">
        <v>9</v>
      </c>
      <c r="P3" s="4" t="s">
        <v>10</v>
      </c>
      <c r="Q3" s="6" t="s">
        <v>11</v>
      </c>
      <c r="R3" s="6" t="s">
        <v>12</v>
      </c>
      <c r="S3" s="7" t="s">
        <v>13</v>
      </c>
      <c r="T3" s="4" t="s">
        <v>9</v>
      </c>
      <c r="U3" s="4" t="s">
        <v>10</v>
      </c>
      <c r="V3" s="6" t="s">
        <v>11</v>
      </c>
      <c r="W3" s="6" t="s">
        <v>12</v>
      </c>
      <c r="X3" s="7" t="s">
        <v>13</v>
      </c>
      <c r="Y3" s="3" t="s">
        <v>9</v>
      </c>
      <c r="Z3" s="4" t="s">
        <v>10</v>
      </c>
      <c r="AA3" s="6" t="s">
        <v>11</v>
      </c>
      <c r="AB3" s="6" t="s">
        <v>12</v>
      </c>
      <c r="AC3" s="7" t="s">
        <v>13</v>
      </c>
      <c r="AD3" s="2" t="s">
        <v>14</v>
      </c>
      <c r="AE3" s="8" t="s">
        <v>15</v>
      </c>
      <c r="AG3" s="8" t="s">
        <v>16</v>
      </c>
      <c r="AH3" s="8" t="s">
        <v>17</v>
      </c>
      <c r="AI3" s="8"/>
      <c r="AJ3" s="8" t="s">
        <v>18</v>
      </c>
      <c r="AK3" s="8"/>
      <c r="AM3" t="s">
        <v>10</v>
      </c>
      <c r="AR3" t="s">
        <v>19</v>
      </c>
    </row>
    <row r="4" spans="2:49" x14ac:dyDescent="0.25">
      <c r="B4" s="9" t="s">
        <v>20</v>
      </c>
      <c r="C4" s="10">
        <v>31.5</v>
      </c>
      <c r="D4" s="11">
        <v>16.3</v>
      </c>
      <c r="E4" s="11">
        <v>1.25</v>
      </c>
      <c r="F4" s="11"/>
      <c r="G4" s="11">
        <v>2.15</v>
      </c>
      <c r="H4" s="11">
        <v>0.9</v>
      </c>
      <c r="I4" s="12">
        <v>0.72</v>
      </c>
      <c r="J4" s="11">
        <v>0.22500000000000001</v>
      </c>
      <c r="K4" s="11">
        <v>790.5</v>
      </c>
      <c r="L4" s="11" t="s">
        <v>21</v>
      </c>
      <c r="M4" s="11" t="s">
        <v>22</v>
      </c>
      <c r="N4" s="11" t="s">
        <v>23</v>
      </c>
      <c r="O4" s="45">
        <v>0.45</v>
      </c>
      <c r="P4" s="11">
        <v>1409</v>
      </c>
      <c r="Q4" s="11" t="s">
        <v>24</v>
      </c>
      <c r="R4" s="11" t="s">
        <v>25</v>
      </c>
      <c r="S4" s="12" t="s">
        <v>26</v>
      </c>
      <c r="T4" s="11">
        <v>0.67500000000000004</v>
      </c>
      <c r="U4" s="11">
        <v>1913</v>
      </c>
      <c r="V4" s="11" t="s">
        <v>27</v>
      </c>
      <c r="W4" s="11" t="s">
        <v>28</v>
      </c>
      <c r="X4" s="11" t="s">
        <v>29</v>
      </c>
      <c r="Y4" s="10">
        <v>0.9</v>
      </c>
      <c r="Z4" s="11">
        <v>2359</v>
      </c>
      <c r="AA4" s="11" t="s">
        <v>30</v>
      </c>
      <c r="AB4" s="11" t="s">
        <v>31</v>
      </c>
      <c r="AC4" s="12" t="s">
        <v>32</v>
      </c>
      <c r="AD4" s="9">
        <v>5.5990000000000002</v>
      </c>
      <c r="AE4" s="13">
        <f>K4/J4</f>
        <v>3513.333333333333</v>
      </c>
      <c r="AG4" s="13">
        <f>P4/O4</f>
        <v>3131.1111111111109</v>
      </c>
      <c r="AH4" s="13">
        <f>U4/T4</f>
        <v>2834.0740740740739</v>
      </c>
      <c r="AI4" s="13"/>
      <c r="AJ4" s="13">
        <f>Z4/Y4</f>
        <v>2621.1111111111109</v>
      </c>
      <c r="AK4" s="13"/>
      <c r="AM4" s="13">
        <f>K4</f>
        <v>790.5</v>
      </c>
      <c r="AN4" s="13">
        <f>P4</f>
        <v>1409</v>
      </c>
      <c r="AO4" s="13">
        <f>U4</f>
        <v>1913</v>
      </c>
      <c r="AP4" s="13">
        <f>Z4</f>
        <v>2359</v>
      </c>
      <c r="AR4" s="14">
        <f>J4</f>
        <v>0.22500000000000001</v>
      </c>
      <c r="AS4" s="14">
        <f>O4</f>
        <v>0.45</v>
      </c>
      <c r="AT4" s="14">
        <f>T4</f>
        <v>0.67500000000000004</v>
      </c>
      <c r="AU4" s="14">
        <f>Y4</f>
        <v>0.9</v>
      </c>
    </row>
    <row r="5" spans="2:49" x14ac:dyDescent="0.25">
      <c r="B5" s="9" t="s">
        <v>33</v>
      </c>
      <c r="C5" s="10">
        <v>34</v>
      </c>
      <c r="D5" s="11">
        <v>16.3</v>
      </c>
      <c r="E5" s="11">
        <v>1.5</v>
      </c>
      <c r="F5" s="11"/>
      <c r="G5" s="11">
        <v>2.5499999999999998</v>
      </c>
      <c r="H5" s="11">
        <v>1.05</v>
      </c>
      <c r="I5" s="12">
        <v>0.7</v>
      </c>
      <c r="J5" s="11">
        <v>0.26200000000000001</v>
      </c>
      <c r="K5" s="11">
        <v>1291</v>
      </c>
      <c r="L5" s="11" t="s">
        <v>34</v>
      </c>
      <c r="M5" s="11" t="s">
        <v>35</v>
      </c>
      <c r="N5" s="11" t="s">
        <v>36</v>
      </c>
      <c r="O5" s="45">
        <v>0.52500000000000002</v>
      </c>
      <c r="P5" s="11">
        <v>2313</v>
      </c>
      <c r="Q5" s="11" t="s">
        <v>37</v>
      </c>
      <c r="R5" s="11" t="s">
        <v>38</v>
      </c>
      <c r="S5" s="12" t="s">
        <v>39</v>
      </c>
      <c r="T5" s="11">
        <v>0.78700000000000003</v>
      </c>
      <c r="U5" s="11">
        <v>3155</v>
      </c>
      <c r="V5" s="11" t="s">
        <v>40</v>
      </c>
      <c r="W5" s="11" t="s">
        <v>41</v>
      </c>
      <c r="X5" s="11" t="s">
        <v>42</v>
      </c>
      <c r="Y5" s="10">
        <v>1.05</v>
      </c>
      <c r="Z5" s="11">
        <v>3908</v>
      </c>
      <c r="AA5" s="11" t="s">
        <v>43</v>
      </c>
      <c r="AB5" s="11" t="s">
        <v>44</v>
      </c>
      <c r="AC5" s="12" t="s">
        <v>45</v>
      </c>
      <c r="AD5" s="9">
        <v>8.2330000000000005</v>
      </c>
      <c r="AE5" s="13">
        <v>4927.480916030534</v>
      </c>
      <c r="AG5" s="13">
        <v>4405.7142857142853</v>
      </c>
      <c r="AH5" s="13">
        <v>4008.8945362134687</v>
      </c>
      <c r="AI5" s="13"/>
      <c r="AJ5" s="13">
        <v>3721.9047619047619</v>
      </c>
      <c r="AK5" s="13"/>
      <c r="AM5" s="13">
        <f t="shared" ref="AM5" si="0">K5</f>
        <v>1291</v>
      </c>
      <c r="AN5" s="13">
        <f t="shared" ref="AN5" si="1">P5</f>
        <v>2313</v>
      </c>
      <c r="AO5" s="13">
        <f t="shared" ref="AO5" si="2">U5</f>
        <v>3155</v>
      </c>
      <c r="AP5" s="13">
        <f t="shared" ref="AP5" si="3">Z5</f>
        <v>3908</v>
      </c>
      <c r="AR5" s="14">
        <f t="shared" ref="AR5" si="4">J5</f>
        <v>0.26200000000000001</v>
      </c>
      <c r="AS5" s="14">
        <f t="shared" ref="AS5" si="5">O5</f>
        <v>0.52500000000000002</v>
      </c>
      <c r="AT5" s="14">
        <f t="shared" ref="AT5" si="6">T5</f>
        <v>0.78700000000000003</v>
      </c>
      <c r="AU5" s="14">
        <f t="shared" ref="AU5" si="7">Y5</f>
        <v>1.05</v>
      </c>
    </row>
    <row r="6" spans="2:49" x14ac:dyDescent="0.25">
      <c r="B6" s="9" t="s">
        <v>58</v>
      </c>
      <c r="C6" s="10">
        <v>40</v>
      </c>
      <c r="D6" s="11">
        <v>16.3</v>
      </c>
      <c r="E6" s="11">
        <v>2</v>
      </c>
      <c r="F6" s="11"/>
      <c r="G6" s="11">
        <v>3.1</v>
      </c>
      <c r="H6" s="11">
        <v>1.1000000000000001</v>
      </c>
      <c r="I6" s="12">
        <v>0.55000000000000004</v>
      </c>
      <c r="J6" s="11">
        <v>0.27500000000000002</v>
      </c>
      <c r="K6" s="11">
        <v>1972</v>
      </c>
      <c r="L6" s="11" t="s">
        <v>59</v>
      </c>
      <c r="M6" s="11" t="s">
        <v>60</v>
      </c>
      <c r="N6" s="11" t="s">
        <v>61</v>
      </c>
      <c r="O6" s="45">
        <v>0.55000000000000004</v>
      </c>
      <c r="P6" s="11">
        <v>3663</v>
      </c>
      <c r="Q6" s="11" t="s">
        <v>62</v>
      </c>
      <c r="R6" s="11" t="s">
        <v>63</v>
      </c>
      <c r="S6" s="12" t="s">
        <v>64</v>
      </c>
      <c r="T6" s="11">
        <v>0.82499999999999996</v>
      </c>
      <c r="U6" s="11">
        <v>5169</v>
      </c>
      <c r="V6" s="11" t="s">
        <v>65</v>
      </c>
      <c r="W6" s="11" t="s">
        <v>66</v>
      </c>
      <c r="X6" s="11" t="s">
        <v>67</v>
      </c>
      <c r="Y6" s="10">
        <v>1.1000000000000001</v>
      </c>
      <c r="Z6" s="11">
        <v>6580</v>
      </c>
      <c r="AA6" s="11" t="s">
        <v>68</v>
      </c>
      <c r="AB6" s="11" t="s">
        <v>69</v>
      </c>
      <c r="AC6" s="12" t="s">
        <v>70</v>
      </c>
      <c r="AD6" s="9">
        <v>16.498999999999999</v>
      </c>
      <c r="AE6" s="13">
        <f>K6/J6</f>
        <v>7170.9090909090901</v>
      </c>
      <c r="AG6" s="13">
        <f>P6/O6</f>
        <v>6659.9999999999991</v>
      </c>
      <c r="AH6" s="13">
        <f>U6/T6</f>
        <v>6265.454545454546</v>
      </c>
      <c r="AI6" s="13"/>
      <c r="AJ6" s="13">
        <f>Z6/Y6</f>
        <v>5981.8181818181811</v>
      </c>
      <c r="AK6" s="13"/>
      <c r="AM6" s="13">
        <f>K6</f>
        <v>1972</v>
      </c>
      <c r="AN6" s="13">
        <f>P6</f>
        <v>3663</v>
      </c>
      <c r="AO6" s="13">
        <f>U6</f>
        <v>5169</v>
      </c>
      <c r="AP6" s="13">
        <f>Z6</f>
        <v>6580</v>
      </c>
      <c r="AR6" s="14">
        <f>J6</f>
        <v>0.27500000000000002</v>
      </c>
      <c r="AS6" s="14">
        <f>O6</f>
        <v>0.55000000000000004</v>
      </c>
      <c r="AT6" s="14">
        <f>T6</f>
        <v>0.82499999999999996</v>
      </c>
      <c r="AU6" s="14">
        <f>Y6</f>
        <v>1.1000000000000001</v>
      </c>
    </row>
    <row r="7" spans="2:49" x14ac:dyDescent="0.25">
      <c r="B7" s="9" t="s">
        <v>46</v>
      </c>
      <c r="C7" s="10">
        <v>34</v>
      </c>
      <c r="D7" s="11">
        <v>16.3</v>
      </c>
      <c r="E7" s="11">
        <v>2</v>
      </c>
      <c r="F7" s="11"/>
      <c r="G7" s="11">
        <v>2.85</v>
      </c>
      <c r="H7" s="11">
        <v>0.85</v>
      </c>
      <c r="I7" s="12">
        <v>0.42499999999999999</v>
      </c>
      <c r="J7" s="11">
        <v>0.21199999999999999</v>
      </c>
      <c r="K7" s="11">
        <v>2097</v>
      </c>
      <c r="L7" s="11" t="s">
        <v>47</v>
      </c>
      <c r="M7" s="11" t="s">
        <v>48</v>
      </c>
      <c r="N7" s="11" t="s">
        <v>23</v>
      </c>
      <c r="O7" s="45">
        <v>0.42499999999999999</v>
      </c>
      <c r="P7" s="11">
        <v>4003</v>
      </c>
      <c r="Q7" s="11" t="s">
        <v>49</v>
      </c>
      <c r="R7" s="11" t="s">
        <v>50</v>
      </c>
      <c r="S7" s="12" t="s">
        <v>51</v>
      </c>
      <c r="T7" s="11">
        <v>0.63700000000000001</v>
      </c>
      <c r="U7" s="11">
        <v>5783</v>
      </c>
      <c r="V7" s="11" t="s">
        <v>52</v>
      </c>
      <c r="W7" s="11" t="s">
        <v>53</v>
      </c>
      <c r="X7" s="11" t="s">
        <v>54</v>
      </c>
      <c r="Y7" s="10">
        <v>0.85</v>
      </c>
      <c r="Z7" s="11">
        <v>7498</v>
      </c>
      <c r="AA7" s="11" t="s">
        <v>55</v>
      </c>
      <c r="AB7" s="11" t="s">
        <v>56</v>
      </c>
      <c r="AC7" s="12" t="s">
        <v>57</v>
      </c>
      <c r="AD7" s="9">
        <v>10.978</v>
      </c>
      <c r="AE7" s="13">
        <f>K7/J7</f>
        <v>9891.5094339622647</v>
      </c>
      <c r="AG7" s="13">
        <f>P7/O7</f>
        <v>9418.8235294117658</v>
      </c>
      <c r="AH7" s="13">
        <f>U7/T7</f>
        <v>9078.4929356357934</v>
      </c>
      <c r="AI7" s="13"/>
      <c r="AJ7" s="13">
        <f>Z7/Y7</f>
        <v>8821.176470588236</v>
      </c>
      <c r="AK7" s="13"/>
      <c r="AM7" s="13">
        <f>K7</f>
        <v>2097</v>
      </c>
      <c r="AN7" s="13">
        <f>P7</f>
        <v>4003</v>
      </c>
      <c r="AO7" s="13">
        <f>U7</f>
        <v>5783</v>
      </c>
      <c r="AP7" s="13">
        <f>Z7</f>
        <v>7498</v>
      </c>
      <c r="AR7" s="14">
        <f>J7</f>
        <v>0.21199999999999999</v>
      </c>
      <c r="AS7" s="14">
        <f>O7</f>
        <v>0.42499999999999999</v>
      </c>
      <c r="AT7" s="14">
        <f>T7</f>
        <v>0.63700000000000001</v>
      </c>
      <c r="AU7" s="14">
        <f>Y7</f>
        <v>0.85</v>
      </c>
    </row>
    <row r="8" spans="2:49" x14ac:dyDescent="0.25">
      <c r="B8" s="9" t="s">
        <v>109</v>
      </c>
      <c r="C8" s="10">
        <v>31.5</v>
      </c>
      <c r="D8" s="11">
        <v>16.3</v>
      </c>
      <c r="E8" s="11">
        <v>2</v>
      </c>
      <c r="F8" s="11"/>
      <c r="G8" s="11">
        <v>2.75</v>
      </c>
      <c r="H8" s="11">
        <v>0.75</v>
      </c>
      <c r="I8" s="12">
        <v>0.375</v>
      </c>
      <c r="J8" s="11">
        <v>0.187</v>
      </c>
      <c r="K8" s="11">
        <v>2199</v>
      </c>
      <c r="L8" s="11" t="s">
        <v>110</v>
      </c>
      <c r="M8" s="11" t="s">
        <v>111</v>
      </c>
      <c r="N8" s="11" t="s">
        <v>112</v>
      </c>
      <c r="O8" s="10">
        <v>0.375</v>
      </c>
      <c r="P8" s="11">
        <v>4239</v>
      </c>
      <c r="Q8" s="11" t="s">
        <v>113</v>
      </c>
      <c r="R8" s="11" t="s">
        <v>114</v>
      </c>
      <c r="S8" s="12" t="s">
        <v>115</v>
      </c>
      <c r="T8" s="11">
        <v>0.56200000000000006</v>
      </c>
      <c r="U8" s="11">
        <v>6173</v>
      </c>
      <c r="V8" s="11" t="s">
        <v>65</v>
      </c>
      <c r="W8" s="11" t="s">
        <v>116</v>
      </c>
      <c r="X8" s="11" t="s">
        <v>117</v>
      </c>
      <c r="Y8" s="10">
        <v>0.75</v>
      </c>
      <c r="Z8" s="11">
        <v>8054</v>
      </c>
      <c r="AA8" s="11" t="s">
        <v>118</v>
      </c>
      <c r="AB8" s="11" t="s">
        <v>119</v>
      </c>
      <c r="AC8" s="12" t="s">
        <v>120</v>
      </c>
      <c r="AD8" s="9">
        <v>8.9559999999999995</v>
      </c>
      <c r="AE8" s="13">
        <f t="shared" ref="AE8" si="8">K8/J8</f>
        <v>11759.358288770054</v>
      </c>
      <c r="AG8" s="13">
        <f>P8/O8</f>
        <v>11304</v>
      </c>
      <c r="AH8" s="13">
        <f>U8/T8</f>
        <v>10983.985765124555</v>
      </c>
      <c r="AI8" s="13"/>
      <c r="AJ8" s="13">
        <f>Z8/Y8</f>
        <v>10738.666666666666</v>
      </c>
      <c r="AK8" s="13"/>
      <c r="AM8" s="13">
        <f>K8</f>
        <v>2199</v>
      </c>
      <c r="AN8" s="13">
        <f>P8</f>
        <v>4239</v>
      </c>
      <c r="AO8" s="13">
        <f>U8</f>
        <v>6173</v>
      </c>
      <c r="AP8" s="13">
        <f>Z8</f>
        <v>8054</v>
      </c>
      <c r="AR8" s="14">
        <f>J8</f>
        <v>0.187</v>
      </c>
      <c r="AS8" s="14">
        <f>O8</f>
        <v>0.375</v>
      </c>
      <c r="AT8" s="14">
        <f>T8</f>
        <v>0.56200000000000006</v>
      </c>
      <c r="AU8" s="14">
        <f>Y8</f>
        <v>0.75</v>
      </c>
    </row>
    <row r="9" spans="2:49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3"/>
      <c r="AF9" s="13"/>
      <c r="AG9" s="13"/>
      <c r="AH9" s="13"/>
    </row>
    <row r="10" spans="2:49" x14ac:dyDescent="0.25">
      <c r="N10" s="15" t="s">
        <v>71</v>
      </c>
      <c r="O10" s="16">
        <v>0.9</v>
      </c>
      <c r="Q10" s="47" t="s">
        <v>102</v>
      </c>
      <c r="R10" s="16">
        <v>36</v>
      </c>
    </row>
    <row r="11" spans="2:49" x14ac:dyDescent="0.25">
      <c r="V11" s="95" t="s">
        <v>147</v>
      </c>
      <c r="W11" s="95">
        <f>37-14</f>
        <v>23</v>
      </c>
      <c r="AI11" s="22"/>
      <c r="AJ11" s="22"/>
      <c r="AK11" s="22"/>
      <c r="AN11" s="20" t="s">
        <v>75</v>
      </c>
      <c r="AO11" s="18"/>
      <c r="AP11" s="18"/>
      <c r="AQ11" s="19"/>
      <c r="AS11" s="1" t="s">
        <v>76</v>
      </c>
    </row>
    <row r="12" spans="2:49" x14ac:dyDescent="0.25">
      <c r="B12" s="17" t="s">
        <v>72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N12" s="20" t="s">
        <v>73</v>
      </c>
      <c r="O12" s="18"/>
      <c r="P12" s="18"/>
      <c r="Q12" s="19"/>
      <c r="S12" s="21" t="s">
        <v>74</v>
      </c>
      <c r="T12" s="19"/>
      <c r="V12" t="s">
        <v>143</v>
      </c>
      <c r="AI12" s="1"/>
      <c r="AJ12" s="1"/>
      <c r="AK12" s="1"/>
      <c r="AN12" s="25" t="s">
        <v>79</v>
      </c>
      <c r="AO12" s="26" t="s">
        <v>80</v>
      </c>
      <c r="AP12" s="26"/>
      <c r="AQ12" s="27"/>
    </row>
    <row r="13" spans="2:49" x14ac:dyDescent="0.25">
      <c r="B13" s="23" t="s">
        <v>77</v>
      </c>
      <c r="C13">
        <v>4</v>
      </c>
      <c r="D13" t="s">
        <v>78</v>
      </c>
      <c r="L13" s="24"/>
      <c r="N13" s="25" t="s">
        <v>79</v>
      </c>
      <c r="O13" s="26" t="s">
        <v>80</v>
      </c>
      <c r="P13" s="26" t="s">
        <v>81</v>
      </c>
      <c r="Q13" s="27" t="s">
        <v>82</v>
      </c>
      <c r="S13" s="28" t="s">
        <v>83</v>
      </c>
      <c r="T13" s="27"/>
      <c r="V13" t="s">
        <v>144</v>
      </c>
      <c r="X13" t="s">
        <v>145</v>
      </c>
      <c r="Y13" t="s">
        <v>146</v>
      </c>
      <c r="AG13" s="1"/>
      <c r="AH13" s="1"/>
      <c r="AI13" s="13"/>
      <c r="AJ13" s="13"/>
      <c r="AK13" s="13"/>
      <c r="AL13" s="13"/>
      <c r="AN13" s="33">
        <v>0</v>
      </c>
      <c r="AO13" s="34">
        <v>0</v>
      </c>
      <c r="AP13" s="31"/>
      <c r="AQ13" s="13"/>
      <c r="AS13">
        <v>-10</v>
      </c>
      <c r="AT13" s="13">
        <f>IF(AS13&lt;$C$13,0,(AS13-$C$13)*$C$14)</f>
        <v>0</v>
      </c>
      <c r="AV13" s="13"/>
      <c r="AW13" s="13"/>
    </row>
    <row r="14" spans="2:49" x14ac:dyDescent="0.25">
      <c r="B14" s="23" t="s">
        <v>84</v>
      </c>
      <c r="C14" s="60">
        <v>0</v>
      </c>
      <c r="D14" t="s">
        <v>85</v>
      </c>
      <c r="E14" t="s">
        <v>126</v>
      </c>
      <c r="L14" s="24"/>
      <c r="N14" s="29">
        <v>0</v>
      </c>
      <c r="O14" s="30">
        <v>0</v>
      </c>
      <c r="P14" s="31">
        <f t="shared" ref="P14:P64" si="9">N14*$O$10</f>
        <v>0</v>
      </c>
      <c r="Q14" s="13">
        <f t="shared" ref="Q14:Q64" si="10">O14/($O$10)</f>
        <v>0</v>
      </c>
      <c r="S14" s="32">
        <v>0</v>
      </c>
      <c r="T14" s="32">
        <v>0</v>
      </c>
      <c r="V14">
        <v>0</v>
      </c>
      <c r="W14">
        <f t="shared" ref="W14:W28" si="11">$W$11+V14</f>
        <v>23</v>
      </c>
      <c r="X14">
        <v>0</v>
      </c>
      <c r="Y14">
        <v>0</v>
      </c>
      <c r="Z14">
        <v>0</v>
      </c>
      <c r="AG14" s="13"/>
      <c r="AH14" s="13"/>
      <c r="AI14" s="13"/>
      <c r="AJ14" s="13"/>
      <c r="AK14" s="13"/>
      <c r="AL14" s="13"/>
      <c r="AN14" s="33">
        <v>1</v>
      </c>
      <c r="AO14" s="34">
        <v>0</v>
      </c>
      <c r="AP14" s="31"/>
      <c r="AQ14" s="13"/>
      <c r="AS14">
        <v>-9</v>
      </c>
      <c r="AT14" s="13">
        <f t="shared" ref="AT14:AT53" si="12">IF(AS14&lt;$C$13,0,(AS14-$C$13)*$C$14)</f>
        <v>0</v>
      </c>
      <c r="AV14" s="13"/>
      <c r="AW14" s="13"/>
    </row>
    <row r="15" spans="2:49" x14ac:dyDescent="0.25">
      <c r="B15" s="35"/>
      <c r="L15" s="24"/>
      <c r="N15" s="29">
        <v>1</v>
      </c>
      <c r="O15" s="30">
        <v>9.9714308599654729E-9</v>
      </c>
      <c r="P15" s="31">
        <f t="shared" si="9"/>
        <v>0.9</v>
      </c>
      <c r="Q15" s="13">
        <f t="shared" si="10"/>
        <v>1.1079367622183858E-8</v>
      </c>
      <c r="S15" s="32">
        <v>1</v>
      </c>
      <c r="T15" s="32">
        <v>0</v>
      </c>
      <c r="V15">
        <v>1</v>
      </c>
      <c r="W15">
        <f t="shared" si="11"/>
        <v>24</v>
      </c>
      <c r="X15">
        <v>10</v>
      </c>
      <c r="Y15">
        <f t="shared" ref="Y15:Y28" si="13">(X15*9.81*0.45)/V15</f>
        <v>44.145000000000003</v>
      </c>
      <c r="Z15" s="13">
        <f>(X15*9.81*0.45)</f>
        <v>44.145000000000003</v>
      </c>
      <c r="AG15" s="13"/>
      <c r="AH15" s="13"/>
      <c r="AI15" s="13"/>
      <c r="AJ15" s="13"/>
      <c r="AK15" s="13"/>
      <c r="AL15" s="13"/>
      <c r="AN15" s="33">
        <v>2</v>
      </c>
      <c r="AO15" s="34">
        <v>0</v>
      </c>
      <c r="AP15" s="31"/>
      <c r="AQ15" s="13"/>
      <c r="AS15">
        <v>-8</v>
      </c>
      <c r="AT15" s="13">
        <f t="shared" si="12"/>
        <v>0</v>
      </c>
      <c r="AV15" s="13"/>
      <c r="AW15" s="13"/>
    </row>
    <row r="16" spans="2:49" x14ac:dyDescent="0.25">
      <c r="B16" s="23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  <c r="H16" s="1" t="s">
        <v>92</v>
      </c>
      <c r="I16" s="1" t="s">
        <v>93</v>
      </c>
      <c r="J16" s="1" t="s">
        <v>74</v>
      </c>
      <c r="K16" s="1" t="s">
        <v>94</v>
      </c>
      <c r="L16" s="24"/>
      <c r="N16" s="29">
        <v>2</v>
      </c>
      <c r="O16" s="30">
        <v>1.4806120528525812E-6</v>
      </c>
      <c r="P16" s="31">
        <f t="shared" si="9"/>
        <v>1.8</v>
      </c>
      <c r="Q16" s="13">
        <f t="shared" si="10"/>
        <v>1.6451245031695347E-6</v>
      </c>
      <c r="S16" s="32">
        <v>2</v>
      </c>
      <c r="T16" s="32">
        <v>0</v>
      </c>
      <c r="V16">
        <v>2</v>
      </c>
      <c r="W16">
        <f t="shared" si="11"/>
        <v>25</v>
      </c>
      <c r="X16">
        <v>40</v>
      </c>
      <c r="Y16">
        <f t="shared" si="13"/>
        <v>88.29</v>
      </c>
      <c r="Z16" s="13">
        <f t="shared" ref="Z16:Z28" si="14">(X16*9.81*0.45)</f>
        <v>176.58</v>
      </c>
      <c r="AG16" s="13"/>
      <c r="AH16" s="13"/>
      <c r="AI16" s="13"/>
      <c r="AJ16" s="13"/>
      <c r="AK16" s="13"/>
      <c r="AL16" s="13"/>
      <c r="AN16" s="33">
        <v>3</v>
      </c>
      <c r="AO16" s="34">
        <v>0</v>
      </c>
      <c r="AP16" s="31"/>
      <c r="AQ16" s="13"/>
      <c r="AS16">
        <v>-7</v>
      </c>
      <c r="AT16" s="13">
        <f t="shared" si="12"/>
        <v>0</v>
      </c>
      <c r="AV16" s="13"/>
      <c r="AW16" s="13"/>
    </row>
    <row r="17" spans="2:49" x14ac:dyDescent="0.25">
      <c r="B17" s="35">
        <v>0</v>
      </c>
      <c r="C17" t="s">
        <v>95</v>
      </c>
      <c r="G17" s="36">
        <v>25</v>
      </c>
      <c r="H17">
        <v>0</v>
      </c>
      <c r="I17">
        <v>0</v>
      </c>
      <c r="J17">
        <f>G17</f>
        <v>25</v>
      </c>
      <c r="K17">
        <v>0</v>
      </c>
      <c r="L17" s="24"/>
      <c r="N17" s="29">
        <v>3</v>
      </c>
      <c r="O17" s="30">
        <v>2.7592742353186277E-5</v>
      </c>
      <c r="P17" s="31">
        <f t="shared" si="9"/>
        <v>2.7</v>
      </c>
      <c r="Q17" s="13">
        <f t="shared" si="10"/>
        <v>3.065860261465142E-5</v>
      </c>
      <c r="S17" s="32">
        <v>3</v>
      </c>
      <c r="T17" s="32">
        <v>0</v>
      </c>
      <c r="V17">
        <v>3</v>
      </c>
      <c r="W17">
        <f t="shared" si="11"/>
        <v>26</v>
      </c>
      <c r="X17">
        <v>82</v>
      </c>
      <c r="Y17">
        <f t="shared" si="13"/>
        <v>120.66300000000001</v>
      </c>
      <c r="Z17" s="13">
        <f t="shared" si="14"/>
        <v>361.98900000000003</v>
      </c>
      <c r="AG17" s="13"/>
      <c r="AH17" s="13"/>
      <c r="AI17" s="13"/>
      <c r="AJ17" s="13"/>
      <c r="AK17" s="13"/>
      <c r="AL17" s="13"/>
      <c r="AN17" s="33">
        <v>4</v>
      </c>
      <c r="AO17" s="34">
        <v>0</v>
      </c>
      <c r="AP17" s="31"/>
      <c r="AQ17" s="13"/>
      <c r="AS17">
        <v>-6</v>
      </c>
      <c r="AT17" s="13">
        <f t="shared" si="12"/>
        <v>0</v>
      </c>
      <c r="AV17" s="13"/>
      <c r="AW17" s="13"/>
    </row>
    <row r="18" spans="2:49" x14ac:dyDescent="0.25">
      <c r="B18" s="35">
        <v>1</v>
      </c>
      <c r="C18" s="37" t="str">
        <f>B4</f>
        <v>18 0011</v>
      </c>
      <c r="D18" s="36">
        <v>12</v>
      </c>
      <c r="E18" s="36">
        <v>1</v>
      </c>
      <c r="F18" s="38">
        <v>0.45</v>
      </c>
      <c r="G18" s="14">
        <f>F18*D18</f>
        <v>5.4</v>
      </c>
      <c r="H18" s="39">
        <f>AG4*F18*E18</f>
        <v>1409</v>
      </c>
      <c r="I18" s="13">
        <f>H18/G18</f>
        <v>260.92592592592592</v>
      </c>
      <c r="J18" s="40">
        <f>G4*D18+((E18-1)*D18*E4)</f>
        <v>25.799999999999997</v>
      </c>
      <c r="K18" s="31">
        <f>J18-G18</f>
        <v>20.399999999999999</v>
      </c>
      <c r="L18" s="24"/>
      <c r="N18" s="29">
        <v>4</v>
      </c>
      <c r="O18" s="30">
        <v>2.1984929563658687E-4</v>
      </c>
      <c r="P18" s="31">
        <f t="shared" si="9"/>
        <v>3.6</v>
      </c>
      <c r="Q18" s="13">
        <f t="shared" si="10"/>
        <v>2.4427699515176316E-4</v>
      </c>
      <c r="S18" s="32">
        <v>4</v>
      </c>
      <c r="T18" s="32">
        <v>0</v>
      </c>
      <c r="V18">
        <v>4</v>
      </c>
      <c r="W18">
        <f t="shared" si="11"/>
        <v>27</v>
      </c>
      <c r="X18">
        <v>128</v>
      </c>
      <c r="Y18">
        <f t="shared" si="13"/>
        <v>141.26400000000001</v>
      </c>
      <c r="Z18" s="13">
        <f t="shared" si="14"/>
        <v>565.05600000000004</v>
      </c>
      <c r="AG18" s="13"/>
      <c r="AH18" s="13"/>
      <c r="AI18" s="13"/>
      <c r="AJ18" s="13"/>
      <c r="AK18" s="13"/>
      <c r="AL18" s="13"/>
      <c r="AN18" s="33">
        <v>5</v>
      </c>
      <c r="AO18" s="34">
        <v>0</v>
      </c>
      <c r="AP18" s="31"/>
      <c r="AQ18" s="13"/>
      <c r="AS18">
        <v>-5</v>
      </c>
      <c r="AT18" s="13">
        <f t="shared" si="12"/>
        <v>0</v>
      </c>
      <c r="AV18" s="13"/>
      <c r="AW18" s="13"/>
    </row>
    <row r="19" spans="2:49" x14ac:dyDescent="0.25">
      <c r="B19" s="35">
        <v>2</v>
      </c>
      <c r="C19" s="37" t="str">
        <f>B6</f>
        <v>18 0029</v>
      </c>
      <c r="D19" s="36">
        <v>22</v>
      </c>
      <c r="E19" s="36">
        <v>2</v>
      </c>
      <c r="F19" s="38">
        <v>0.55000000000000004</v>
      </c>
      <c r="G19" s="14">
        <f>F19*D19</f>
        <v>12.100000000000001</v>
      </c>
      <c r="H19" s="39">
        <f>AG6*F19*E19</f>
        <v>7326</v>
      </c>
      <c r="I19" s="13">
        <f>H19/G19</f>
        <v>605.45454545454538</v>
      </c>
      <c r="J19" s="40">
        <f>G6*D19+((E19-1)*D19*E6)</f>
        <v>112.2</v>
      </c>
      <c r="K19" s="31">
        <f>J19-G19</f>
        <v>100.1</v>
      </c>
      <c r="L19" s="24"/>
      <c r="N19" s="29">
        <v>5</v>
      </c>
      <c r="O19" s="30">
        <v>1.0996414615292525E-3</v>
      </c>
      <c r="P19" s="31">
        <f t="shared" si="9"/>
        <v>4.5</v>
      </c>
      <c r="Q19" s="13">
        <f t="shared" si="10"/>
        <v>1.2218238461436139E-3</v>
      </c>
      <c r="S19" s="32">
        <v>5</v>
      </c>
      <c r="T19" s="32">
        <v>0</v>
      </c>
      <c r="V19">
        <v>5</v>
      </c>
      <c r="W19">
        <f t="shared" si="11"/>
        <v>28</v>
      </c>
      <c r="X19">
        <v>175</v>
      </c>
      <c r="Y19">
        <f t="shared" si="13"/>
        <v>154.50749999999999</v>
      </c>
      <c r="Z19" s="13">
        <f t="shared" si="14"/>
        <v>772.53750000000002</v>
      </c>
      <c r="AG19" s="13"/>
      <c r="AH19" s="13"/>
      <c r="AI19" s="13"/>
      <c r="AJ19" s="13"/>
      <c r="AK19" s="13"/>
      <c r="AL19" s="13"/>
      <c r="AN19" s="33">
        <v>6</v>
      </c>
      <c r="AO19" s="34">
        <v>0</v>
      </c>
      <c r="AP19" s="31"/>
      <c r="AQ19" s="13"/>
      <c r="AS19">
        <v>-4</v>
      </c>
      <c r="AT19" s="13">
        <f t="shared" si="12"/>
        <v>0</v>
      </c>
      <c r="AV19" s="13"/>
      <c r="AW19" s="13"/>
    </row>
    <row r="20" spans="2:49" x14ac:dyDescent="0.25">
      <c r="B20" s="35"/>
      <c r="L20" s="24"/>
      <c r="N20" s="29">
        <v>6</v>
      </c>
      <c r="O20" s="30">
        <v>4.0971198088942022E-3</v>
      </c>
      <c r="P20" s="31">
        <f t="shared" si="9"/>
        <v>5.4</v>
      </c>
      <c r="Q20" s="13">
        <f t="shared" si="10"/>
        <v>4.5523553432157806E-3</v>
      </c>
      <c r="S20" s="32">
        <v>6</v>
      </c>
      <c r="T20" s="32">
        <v>0</v>
      </c>
      <c r="V20">
        <v>6</v>
      </c>
      <c r="W20">
        <f t="shared" si="11"/>
        <v>29</v>
      </c>
      <c r="X20">
        <v>220</v>
      </c>
      <c r="Y20">
        <f t="shared" si="13"/>
        <v>161.86500000000004</v>
      </c>
      <c r="Z20" s="13">
        <f t="shared" si="14"/>
        <v>971.19000000000017</v>
      </c>
      <c r="AG20" s="13"/>
      <c r="AH20" s="13"/>
      <c r="AI20" s="13"/>
      <c r="AJ20" s="13"/>
      <c r="AK20" s="13"/>
      <c r="AL20" s="13"/>
      <c r="AN20" s="33">
        <v>7</v>
      </c>
      <c r="AO20" s="34">
        <v>0</v>
      </c>
      <c r="AP20" s="31"/>
      <c r="AQ20" s="13"/>
      <c r="AS20">
        <v>-3</v>
      </c>
      <c r="AT20" s="13">
        <f t="shared" si="12"/>
        <v>0</v>
      </c>
      <c r="AV20" s="13"/>
      <c r="AW20" s="13"/>
    </row>
    <row r="21" spans="2:49" x14ac:dyDescent="0.25">
      <c r="B21" s="23" t="s">
        <v>96</v>
      </c>
      <c r="C21" s="1" t="s">
        <v>92</v>
      </c>
      <c r="D21" s="1" t="s">
        <v>97</v>
      </c>
      <c r="E21" s="1" t="s">
        <v>98</v>
      </c>
      <c r="F21" s="1" t="s">
        <v>79</v>
      </c>
      <c r="G21" s="1" t="s">
        <v>99</v>
      </c>
      <c r="I21" s="41" t="s">
        <v>100</v>
      </c>
      <c r="J21" s="42">
        <f>SUM(J17:J19)</f>
        <v>163</v>
      </c>
      <c r="K21" s="43">
        <f>SUM(K17:K19)</f>
        <v>120.5</v>
      </c>
      <c r="L21" s="24"/>
      <c r="N21" s="29">
        <v>7</v>
      </c>
      <c r="O21" s="30">
        <v>1.2457895458061608E-2</v>
      </c>
      <c r="P21" s="31">
        <f t="shared" si="9"/>
        <v>6.3</v>
      </c>
      <c r="Q21" s="13">
        <f t="shared" si="10"/>
        <v>1.3842106064512897E-2</v>
      </c>
      <c r="S21" s="32">
        <v>7</v>
      </c>
      <c r="T21" s="32">
        <v>0</v>
      </c>
      <c r="V21">
        <v>7</v>
      </c>
      <c r="W21">
        <f t="shared" si="11"/>
        <v>30</v>
      </c>
      <c r="X21">
        <v>265</v>
      </c>
      <c r="Y21">
        <f t="shared" si="13"/>
        <v>167.12035714285713</v>
      </c>
      <c r="Z21" s="13">
        <f t="shared" si="14"/>
        <v>1169.8425</v>
      </c>
      <c r="AG21" s="13"/>
      <c r="AH21" s="13"/>
      <c r="AI21" s="13"/>
      <c r="AJ21" s="13"/>
      <c r="AK21" s="13"/>
      <c r="AL21" s="13"/>
      <c r="AN21" s="33">
        <v>8</v>
      </c>
      <c r="AO21" s="34">
        <v>0</v>
      </c>
      <c r="AP21" s="31"/>
      <c r="AQ21" s="13"/>
      <c r="AS21">
        <v>-2</v>
      </c>
      <c r="AT21" s="13">
        <f t="shared" si="12"/>
        <v>0</v>
      </c>
      <c r="AV21" s="13"/>
      <c r="AW21" s="13"/>
    </row>
    <row r="22" spans="2:49" x14ac:dyDescent="0.25">
      <c r="B22" s="35">
        <v>0</v>
      </c>
      <c r="C22">
        <v>0</v>
      </c>
      <c r="F22">
        <f>C13</f>
        <v>4</v>
      </c>
      <c r="G22" s="13">
        <v>0</v>
      </c>
      <c r="H22" s="49" t="s">
        <v>103</v>
      </c>
      <c r="L22" s="24"/>
      <c r="N22" s="29">
        <v>8</v>
      </c>
      <c r="O22" s="30">
        <v>3.2644413976492065E-2</v>
      </c>
      <c r="P22" s="31">
        <f t="shared" si="9"/>
        <v>7.2</v>
      </c>
      <c r="Q22" s="13">
        <f t="shared" si="10"/>
        <v>3.6271571084991183E-2</v>
      </c>
      <c r="S22" s="32">
        <v>8</v>
      </c>
      <c r="T22" s="32">
        <v>0</v>
      </c>
      <c r="V22">
        <v>8</v>
      </c>
      <c r="W22">
        <f t="shared" si="11"/>
        <v>31</v>
      </c>
      <c r="X22">
        <v>305</v>
      </c>
      <c r="Y22">
        <f t="shared" si="13"/>
        <v>168.30281250000002</v>
      </c>
      <c r="Z22" s="13">
        <f t="shared" si="14"/>
        <v>1346.4225000000001</v>
      </c>
      <c r="AG22" s="13"/>
      <c r="AH22" s="13"/>
      <c r="AI22" s="13"/>
      <c r="AJ22" s="13"/>
      <c r="AK22" s="13"/>
      <c r="AL22" s="13"/>
      <c r="AN22" s="33">
        <v>9</v>
      </c>
      <c r="AO22" s="34">
        <v>0</v>
      </c>
      <c r="AP22" s="31"/>
      <c r="AQ22" s="13"/>
      <c r="AS22">
        <v>-1</v>
      </c>
      <c r="AT22" s="13">
        <f t="shared" si="12"/>
        <v>0</v>
      </c>
      <c r="AV22" s="13"/>
      <c r="AW22" s="13"/>
    </row>
    <row r="23" spans="2:49" x14ac:dyDescent="0.25">
      <c r="B23" s="35" t="s">
        <v>101</v>
      </c>
      <c r="C23">
        <v>0</v>
      </c>
      <c r="F23">
        <f>G17</f>
        <v>25</v>
      </c>
      <c r="G23" s="13">
        <f>C23+(F23-$C$13)*($C$14)</f>
        <v>0</v>
      </c>
      <c r="H23" s="50" t="s">
        <v>104</v>
      </c>
      <c r="J23" s="31"/>
      <c r="L23" s="24"/>
      <c r="N23" s="29">
        <v>9</v>
      </c>
      <c r="O23" s="30">
        <v>7.6354080097583502E-2</v>
      </c>
      <c r="P23" s="31">
        <f t="shared" si="9"/>
        <v>8.1</v>
      </c>
      <c r="Q23" s="13">
        <f t="shared" si="10"/>
        <v>8.483786677509278E-2</v>
      </c>
      <c r="S23" s="32">
        <v>9</v>
      </c>
      <c r="T23" s="32">
        <v>0</v>
      </c>
      <c r="V23">
        <v>9</v>
      </c>
      <c r="W23">
        <f t="shared" si="11"/>
        <v>32</v>
      </c>
      <c r="X23">
        <v>348</v>
      </c>
      <c r="Y23">
        <f t="shared" si="13"/>
        <v>170.69400000000002</v>
      </c>
      <c r="Z23" s="13">
        <f t="shared" si="14"/>
        <v>1536.2460000000001</v>
      </c>
      <c r="AG23" s="13"/>
      <c r="AH23" s="13"/>
      <c r="AI23" s="13"/>
      <c r="AJ23" s="13"/>
      <c r="AK23" s="13"/>
      <c r="AL23" s="13"/>
      <c r="AN23" s="33">
        <v>10</v>
      </c>
      <c r="AO23" s="34">
        <v>0</v>
      </c>
      <c r="AP23" s="31"/>
      <c r="AQ23" s="13"/>
      <c r="AS23">
        <v>0</v>
      </c>
      <c r="AT23" s="13">
        <f t="shared" si="12"/>
        <v>0</v>
      </c>
      <c r="AV23" s="13"/>
      <c r="AW23" s="13"/>
    </row>
    <row r="24" spans="2:49" x14ac:dyDescent="0.25">
      <c r="B24" s="35">
        <v>1</v>
      </c>
      <c r="C24" s="13">
        <f>H18</f>
        <v>1409</v>
      </c>
      <c r="D24" s="13">
        <f>I18*I19/(I18+I19)</f>
        <v>182.34343120300022</v>
      </c>
      <c r="E24" s="31">
        <f>C24/D24</f>
        <v>7.7271771771771771</v>
      </c>
      <c r="F24" s="31">
        <f>F23+E24</f>
        <v>32.727177177177175</v>
      </c>
      <c r="G24" s="13">
        <f>C24+(F24-$C$13)*($C$14)</f>
        <v>1409</v>
      </c>
      <c r="H24" s="51" t="s">
        <v>105</v>
      </c>
      <c r="L24" s="24"/>
      <c r="N24" s="29">
        <v>10</v>
      </c>
      <c r="O24" s="30">
        <v>0.1632807191486941</v>
      </c>
      <c r="P24" s="31">
        <f t="shared" si="9"/>
        <v>9</v>
      </c>
      <c r="Q24" s="13">
        <f t="shared" si="10"/>
        <v>0.18142302127632678</v>
      </c>
      <c r="S24" s="32">
        <v>10</v>
      </c>
      <c r="T24" s="32">
        <v>0</v>
      </c>
      <c r="V24">
        <v>10</v>
      </c>
      <c r="W24">
        <f t="shared" si="11"/>
        <v>33</v>
      </c>
      <c r="X24">
        <v>400</v>
      </c>
      <c r="Y24">
        <f t="shared" si="13"/>
        <v>176.57999999999998</v>
      </c>
      <c r="Z24" s="13">
        <f t="shared" si="14"/>
        <v>1765.8</v>
      </c>
      <c r="AG24" s="13"/>
      <c r="AH24" s="13"/>
      <c r="AI24" s="13"/>
      <c r="AJ24" s="13"/>
      <c r="AK24" s="13"/>
      <c r="AL24" s="13"/>
      <c r="AN24" s="33">
        <v>11</v>
      </c>
      <c r="AO24" s="34">
        <v>0</v>
      </c>
      <c r="AP24" s="31"/>
      <c r="AQ24" s="13"/>
      <c r="AS24">
        <v>1</v>
      </c>
      <c r="AT24" s="13">
        <f t="shared" si="12"/>
        <v>0</v>
      </c>
      <c r="AV24" s="13"/>
      <c r="AW24" s="13"/>
    </row>
    <row r="25" spans="2:49" x14ac:dyDescent="0.25">
      <c r="B25" s="35">
        <v>2</v>
      </c>
      <c r="C25" s="13">
        <f>H19</f>
        <v>7326</v>
      </c>
      <c r="D25" s="13">
        <f>I19</f>
        <v>605.45454545454538</v>
      </c>
      <c r="E25" s="31">
        <f>(C25-C24)/D25</f>
        <v>9.7728228228228247</v>
      </c>
      <c r="F25" s="31">
        <f>F24+E25</f>
        <v>42.5</v>
      </c>
      <c r="G25" s="13">
        <f>C25+(F25-$C$13)*($C$14)</f>
        <v>7326</v>
      </c>
      <c r="H25" s="51" t="s">
        <v>106</v>
      </c>
      <c r="L25" s="24"/>
      <c r="N25" s="29">
        <v>11</v>
      </c>
      <c r="O25" s="30">
        <v>0.32474993978578193</v>
      </c>
      <c r="P25" s="31">
        <f t="shared" si="9"/>
        <v>9.9</v>
      </c>
      <c r="Q25" s="13">
        <f t="shared" si="10"/>
        <v>0.3608332664286466</v>
      </c>
      <c r="S25" s="32">
        <v>11</v>
      </c>
      <c r="T25" s="32">
        <v>0</v>
      </c>
      <c r="V25">
        <v>11</v>
      </c>
      <c r="W25">
        <f t="shared" si="11"/>
        <v>34</v>
      </c>
      <c r="X25">
        <v>515</v>
      </c>
      <c r="Y25">
        <f t="shared" si="13"/>
        <v>206.67886363636364</v>
      </c>
      <c r="Z25" s="13">
        <f t="shared" si="14"/>
        <v>2273.4675000000002</v>
      </c>
      <c r="AG25" s="13"/>
      <c r="AH25" s="13"/>
      <c r="AI25" s="13"/>
      <c r="AJ25" s="13"/>
      <c r="AK25" s="13"/>
      <c r="AL25" s="13"/>
      <c r="AN25" s="33">
        <v>12</v>
      </c>
      <c r="AO25" s="34">
        <v>0</v>
      </c>
      <c r="AP25" s="31"/>
      <c r="AQ25" s="13"/>
      <c r="AS25">
        <v>2</v>
      </c>
      <c r="AT25" s="13">
        <f t="shared" si="12"/>
        <v>0</v>
      </c>
      <c r="AV25" s="13"/>
      <c r="AW25" s="13"/>
    </row>
    <row r="26" spans="2:49" x14ac:dyDescent="0.25"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7"/>
      <c r="N26" s="29">
        <v>12</v>
      </c>
      <c r="O26" s="30">
        <v>0.60836253655283645</v>
      </c>
      <c r="P26" s="31">
        <f>N26*$O$10</f>
        <v>10.8</v>
      </c>
      <c r="Q26" s="13">
        <f t="shared" si="10"/>
        <v>0.67595837394759606</v>
      </c>
      <c r="R26" s="31"/>
      <c r="S26" s="32">
        <v>12</v>
      </c>
      <c r="T26" s="32">
        <v>0</v>
      </c>
      <c r="V26">
        <v>12</v>
      </c>
      <c r="W26">
        <f t="shared" si="11"/>
        <v>35</v>
      </c>
      <c r="X26">
        <v>655</v>
      </c>
      <c r="Y26">
        <f t="shared" si="13"/>
        <v>240.958125</v>
      </c>
      <c r="Z26" s="13">
        <f t="shared" si="14"/>
        <v>2891.4974999999999</v>
      </c>
      <c r="AG26" s="13"/>
      <c r="AH26" s="13"/>
      <c r="AI26" s="13"/>
      <c r="AJ26" s="13"/>
      <c r="AK26" s="13"/>
      <c r="AL26" s="13"/>
      <c r="AN26" s="33">
        <v>13</v>
      </c>
      <c r="AO26" s="34">
        <v>0</v>
      </c>
      <c r="AP26" s="31"/>
      <c r="AQ26" s="13"/>
      <c r="AS26">
        <v>3</v>
      </c>
      <c r="AT26" s="13">
        <f t="shared" si="12"/>
        <v>0</v>
      </c>
      <c r="AV26" s="13"/>
      <c r="AW26" s="13"/>
    </row>
    <row r="27" spans="2:49" x14ac:dyDescent="0.25">
      <c r="N27" s="29">
        <v>13</v>
      </c>
      <c r="O27" s="30">
        <v>1.0837833235552281</v>
      </c>
      <c r="P27" s="31">
        <f t="shared" si="9"/>
        <v>11.700000000000001</v>
      </c>
      <c r="Q27" s="13">
        <f t="shared" si="10"/>
        <v>1.2042036928391424</v>
      </c>
      <c r="R27" s="31"/>
      <c r="S27" s="32">
        <v>13</v>
      </c>
      <c r="T27" s="32">
        <v>0</v>
      </c>
      <c r="V27">
        <v>13</v>
      </c>
      <c r="W27">
        <f t="shared" si="11"/>
        <v>36</v>
      </c>
      <c r="X27">
        <v>798</v>
      </c>
      <c r="Y27">
        <f t="shared" si="13"/>
        <v>270.9823846153846</v>
      </c>
      <c r="Z27" s="13">
        <f t="shared" si="14"/>
        <v>3522.7710000000002</v>
      </c>
      <c r="AG27" s="13"/>
      <c r="AH27" s="13"/>
      <c r="AI27" s="13"/>
      <c r="AJ27" s="13"/>
      <c r="AK27" s="13"/>
      <c r="AL27" s="13"/>
      <c r="AN27" s="33">
        <v>14</v>
      </c>
      <c r="AO27" s="34">
        <v>0</v>
      </c>
      <c r="AP27" s="31"/>
      <c r="AQ27" s="13"/>
      <c r="AS27">
        <v>4</v>
      </c>
      <c r="AT27" s="13">
        <f t="shared" si="12"/>
        <v>0</v>
      </c>
      <c r="AV27" s="13"/>
      <c r="AW27" s="13"/>
    </row>
    <row r="28" spans="2:49" x14ac:dyDescent="0.25">
      <c r="B28" s="17" t="s">
        <v>72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  <c r="N28" s="29">
        <v>14</v>
      </c>
      <c r="O28" s="30">
        <v>1.8498157814481702</v>
      </c>
      <c r="P28" s="31">
        <f t="shared" si="9"/>
        <v>12.6</v>
      </c>
      <c r="Q28" s="13">
        <f t="shared" si="10"/>
        <v>2.0553508682757444</v>
      </c>
      <c r="R28" s="31"/>
      <c r="S28" s="32">
        <v>14</v>
      </c>
      <c r="T28" s="32">
        <v>0</v>
      </c>
      <c r="V28">
        <v>14</v>
      </c>
      <c r="W28">
        <f t="shared" si="11"/>
        <v>37</v>
      </c>
      <c r="X28">
        <v>950</v>
      </c>
      <c r="Y28">
        <f t="shared" si="13"/>
        <v>299.55535714285719</v>
      </c>
      <c r="Z28" s="13">
        <f t="shared" si="14"/>
        <v>4193.7750000000005</v>
      </c>
      <c r="AG28" s="13"/>
      <c r="AH28" s="13"/>
      <c r="AI28" s="13"/>
      <c r="AJ28" s="13"/>
      <c r="AK28" s="13"/>
      <c r="AL28" s="13"/>
      <c r="AN28" s="33">
        <v>15</v>
      </c>
      <c r="AO28" s="34">
        <v>0</v>
      </c>
      <c r="AP28" s="31"/>
      <c r="AQ28" s="13"/>
      <c r="AS28">
        <v>5</v>
      </c>
      <c r="AT28" s="13">
        <f t="shared" si="12"/>
        <v>0</v>
      </c>
      <c r="AV28" s="13"/>
      <c r="AW28" s="13"/>
    </row>
    <row r="29" spans="2:49" x14ac:dyDescent="0.25">
      <c r="B29" s="23" t="s">
        <v>77</v>
      </c>
      <c r="C29">
        <v>4</v>
      </c>
      <c r="D29" t="s">
        <v>78</v>
      </c>
      <c r="L29" s="24"/>
      <c r="N29" s="29">
        <v>15</v>
      </c>
      <c r="O29" s="30">
        <v>3.0429056727133443</v>
      </c>
      <c r="P29" s="31">
        <f t="shared" si="9"/>
        <v>13.5</v>
      </c>
      <c r="Q29" s="13">
        <f t="shared" si="10"/>
        <v>3.3810063030148267</v>
      </c>
      <c r="R29" s="31"/>
      <c r="S29" s="32">
        <v>15</v>
      </c>
      <c r="T29" s="32">
        <v>0</v>
      </c>
      <c r="AG29" s="13"/>
      <c r="AH29" s="13"/>
      <c r="AI29" s="13"/>
      <c r="AJ29" s="13"/>
      <c r="AK29" s="13"/>
      <c r="AL29" s="13"/>
      <c r="AN29" s="33">
        <v>16</v>
      </c>
      <c r="AO29" s="34">
        <v>0</v>
      </c>
      <c r="AP29" s="31"/>
      <c r="AQ29" s="13"/>
      <c r="AS29">
        <v>6</v>
      </c>
      <c r="AT29" s="13">
        <f t="shared" si="12"/>
        <v>0</v>
      </c>
      <c r="AV29" s="13"/>
      <c r="AW29" s="13"/>
    </row>
    <row r="30" spans="2:49" x14ac:dyDescent="0.25">
      <c r="B30" s="23" t="s">
        <v>84</v>
      </c>
      <c r="C30" s="60">
        <v>0</v>
      </c>
      <c r="D30" t="s">
        <v>85</v>
      </c>
      <c r="E30" t="s">
        <v>126</v>
      </c>
      <c r="L30" s="24"/>
      <c r="N30" s="29">
        <v>16</v>
      </c>
      <c r="O30" s="30">
        <v>4.8472193680808138</v>
      </c>
      <c r="P30" s="31">
        <f t="shared" si="9"/>
        <v>14.4</v>
      </c>
      <c r="Q30" s="13">
        <f t="shared" si="10"/>
        <v>5.3857992978675711</v>
      </c>
      <c r="R30" s="31"/>
      <c r="S30" s="32">
        <v>16</v>
      </c>
      <c r="T30" s="32">
        <v>0</v>
      </c>
      <c r="AG30" s="13"/>
      <c r="AH30" s="13"/>
      <c r="AI30" s="13"/>
      <c r="AJ30" s="13"/>
      <c r="AK30" s="13"/>
      <c r="AL30" s="13"/>
      <c r="AN30" s="33">
        <v>17</v>
      </c>
      <c r="AO30" s="34">
        <v>0</v>
      </c>
      <c r="AP30" s="31"/>
      <c r="AQ30" s="13"/>
      <c r="AS30">
        <v>7</v>
      </c>
      <c r="AT30" s="13">
        <f t="shared" si="12"/>
        <v>0</v>
      </c>
      <c r="AV30" s="13"/>
      <c r="AW30" s="13"/>
    </row>
    <row r="31" spans="2:49" x14ac:dyDescent="0.25">
      <c r="B31" s="35"/>
      <c r="L31" s="24"/>
      <c r="N31" s="29">
        <v>17</v>
      </c>
      <c r="O31" s="30">
        <v>7.5064450558853597</v>
      </c>
      <c r="P31" s="31">
        <f t="shared" si="9"/>
        <v>15.3</v>
      </c>
      <c r="Q31" s="13">
        <f t="shared" si="10"/>
        <v>8.3404945065392884</v>
      </c>
      <c r="R31" s="31"/>
      <c r="S31" s="32">
        <v>17</v>
      </c>
      <c r="T31" s="32">
        <v>0</v>
      </c>
      <c r="AG31" s="13"/>
      <c r="AH31" s="13"/>
      <c r="AI31" s="13"/>
      <c r="AJ31" s="13"/>
      <c r="AK31" s="13"/>
      <c r="AL31" s="13"/>
      <c r="AN31" s="33">
        <v>18</v>
      </c>
      <c r="AO31" s="34">
        <v>0</v>
      </c>
      <c r="AP31" s="31"/>
      <c r="AQ31" s="13"/>
      <c r="AS31">
        <v>8</v>
      </c>
      <c r="AT31" s="13">
        <f t="shared" si="12"/>
        <v>0</v>
      </c>
      <c r="AV31" s="13"/>
      <c r="AW31" s="13"/>
    </row>
    <row r="32" spans="2:49" x14ac:dyDescent="0.25">
      <c r="B32" s="23" t="s">
        <v>86</v>
      </c>
      <c r="C32" s="1" t="s">
        <v>87</v>
      </c>
      <c r="D32" s="1" t="s">
        <v>88</v>
      </c>
      <c r="E32" s="1" t="s">
        <v>89</v>
      </c>
      <c r="F32" s="1" t="s">
        <v>90</v>
      </c>
      <c r="G32" s="1" t="s">
        <v>91</v>
      </c>
      <c r="H32" s="1" t="s">
        <v>92</v>
      </c>
      <c r="I32" s="1" t="s">
        <v>93</v>
      </c>
      <c r="J32" s="1" t="s">
        <v>74</v>
      </c>
      <c r="K32" s="1" t="s">
        <v>94</v>
      </c>
      <c r="L32" s="24"/>
      <c r="N32" s="29">
        <v>18</v>
      </c>
      <c r="O32" s="30">
        <v>11.337467296779179</v>
      </c>
      <c r="P32" s="31">
        <f t="shared" si="9"/>
        <v>16.2</v>
      </c>
      <c r="Q32" s="13">
        <f t="shared" si="10"/>
        <v>12.597185885310198</v>
      </c>
      <c r="R32" s="31"/>
      <c r="S32" s="32">
        <v>18</v>
      </c>
      <c r="T32" s="32">
        <v>0</v>
      </c>
      <c r="AG32" s="13"/>
      <c r="AH32" s="13"/>
      <c r="AI32" s="13"/>
      <c r="AJ32" s="13"/>
      <c r="AK32" s="13"/>
      <c r="AL32" s="13"/>
      <c r="AN32" s="33">
        <v>19</v>
      </c>
      <c r="AO32" s="34">
        <v>0</v>
      </c>
      <c r="AP32" s="31"/>
      <c r="AQ32" s="13"/>
      <c r="AS32">
        <v>9</v>
      </c>
      <c r="AT32" s="13">
        <f t="shared" si="12"/>
        <v>0</v>
      </c>
      <c r="AV32" s="13"/>
      <c r="AW32" s="13"/>
    </row>
    <row r="33" spans="2:49" x14ac:dyDescent="0.25">
      <c r="B33" s="35">
        <v>0</v>
      </c>
      <c r="C33" t="s">
        <v>95</v>
      </c>
      <c r="G33" s="36">
        <v>25</v>
      </c>
      <c r="H33">
        <v>0</v>
      </c>
      <c r="I33">
        <v>0</v>
      </c>
      <c r="J33">
        <f>G33</f>
        <v>25</v>
      </c>
      <c r="K33">
        <v>0</v>
      </c>
      <c r="L33" s="24"/>
      <c r="N33" s="29">
        <v>19</v>
      </c>
      <c r="O33" s="30">
        <v>16.746067555297913</v>
      </c>
      <c r="P33" s="31">
        <f t="shared" si="9"/>
        <v>17.100000000000001</v>
      </c>
      <c r="Q33" s="13">
        <f t="shared" si="10"/>
        <v>18.606741728108791</v>
      </c>
      <c r="R33" s="31"/>
      <c r="S33" s="32">
        <v>19</v>
      </c>
      <c r="T33" s="32">
        <v>0</v>
      </c>
      <c r="AG33" s="13"/>
      <c r="AH33" s="13"/>
      <c r="AI33" s="13"/>
      <c r="AJ33" s="13"/>
      <c r="AK33" s="13"/>
      <c r="AL33" s="13"/>
      <c r="AN33" s="33">
        <v>20</v>
      </c>
      <c r="AO33" s="34">
        <v>0</v>
      </c>
      <c r="AP33" s="31"/>
      <c r="AQ33" s="13"/>
      <c r="AS33">
        <v>10</v>
      </c>
      <c r="AT33" s="13">
        <f t="shared" si="12"/>
        <v>0</v>
      </c>
      <c r="AV33" s="13"/>
      <c r="AW33" s="13"/>
    </row>
    <row r="34" spans="2:49" x14ac:dyDescent="0.25">
      <c r="B34" s="35">
        <v>1</v>
      </c>
      <c r="C34" s="37" t="str">
        <f>B4</f>
        <v>18 0011</v>
      </c>
      <c r="D34" s="36">
        <v>12</v>
      </c>
      <c r="E34" s="36">
        <v>1</v>
      </c>
      <c r="F34" s="38">
        <v>0.45</v>
      </c>
      <c r="G34" s="14">
        <f>F34*D34</f>
        <v>5.4</v>
      </c>
      <c r="H34" s="39">
        <f>AG4*F34*E34</f>
        <v>1409</v>
      </c>
      <c r="I34" s="13">
        <f>H34/G34</f>
        <v>260.92592592592592</v>
      </c>
      <c r="J34" s="40">
        <f>G4*D34+((E34-1)*D34*E4)</f>
        <v>25.799999999999997</v>
      </c>
      <c r="K34" s="31">
        <f>J34-G34</f>
        <v>20.399999999999999</v>
      </c>
      <c r="L34" s="24"/>
      <c r="N34" s="29">
        <v>20</v>
      </c>
      <c r="O34" s="30">
        <v>24.244805401060546</v>
      </c>
      <c r="P34" s="31">
        <f t="shared" si="9"/>
        <v>18</v>
      </c>
      <c r="Q34" s="13">
        <f t="shared" si="10"/>
        <v>26.938672667845051</v>
      </c>
      <c r="R34" s="31"/>
      <c r="S34" s="32">
        <v>20</v>
      </c>
      <c r="T34" s="32">
        <v>0</v>
      </c>
      <c r="AG34" s="13"/>
      <c r="AH34" s="13"/>
      <c r="AI34" s="13"/>
      <c r="AJ34" s="13"/>
      <c r="AK34" s="13"/>
      <c r="AL34" s="13"/>
      <c r="AN34" s="33">
        <v>21</v>
      </c>
      <c r="AO34" s="34">
        <v>0</v>
      </c>
      <c r="AP34" s="31"/>
      <c r="AQ34" s="13"/>
      <c r="AS34">
        <v>11</v>
      </c>
      <c r="AT34" s="13">
        <f t="shared" si="12"/>
        <v>0</v>
      </c>
      <c r="AV34" s="13"/>
      <c r="AW34" s="13"/>
    </row>
    <row r="35" spans="2:49" x14ac:dyDescent="0.25">
      <c r="B35" s="35">
        <v>2</v>
      </c>
      <c r="C35" s="37" t="str">
        <f>B6</f>
        <v>18 0029</v>
      </c>
      <c r="D35" s="36">
        <v>11</v>
      </c>
      <c r="E35" s="36">
        <v>2</v>
      </c>
      <c r="F35" s="38">
        <v>0.27500000000000002</v>
      </c>
      <c r="G35" s="14">
        <f>F35*D35</f>
        <v>3.0250000000000004</v>
      </c>
      <c r="H35" s="39">
        <f>AE6*F35*E35</f>
        <v>3944</v>
      </c>
      <c r="I35" s="13">
        <f>H35/G35</f>
        <v>1303.8016528925618</v>
      </c>
      <c r="J35" s="40">
        <f>G6*D35+((E35-1)*D35*E6)</f>
        <v>56.1</v>
      </c>
      <c r="K35" s="31">
        <f>J35-G35</f>
        <v>53.075000000000003</v>
      </c>
      <c r="L35" s="24"/>
      <c r="N35" s="29">
        <v>21</v>
      </c>
      <c r="O35" s="30">
        <v>34.473237037358686</v>
      </c>
      <c r="P35" s="31">
        <f t="shared" si="9"/>
        <v>18.900000000000002</v>
      </c>
      <c r="Q35" s="13">
        <f t="shared" si="10"/>
        <v>38.303596708176315</v>
      </c>
      <c r="R35" s="31"/>
      <c r="S35" s="32">
        <v>21</v>
      </c>
      <c r="T35" s="32">
        <v>0</v>
      </c>
      <c r="AG35" s="13"/>
      <c r="AH35" s="13"/>
      <c r="AI35" s="13"/>
      <c r="AJ35" s="13"/>
      <c r="AK35" s="13"/>
      <c r="AL35" s="13"/>
      <c r="AN35" s="33">
        <v>22</v>
      </c>
      <c r="AO35" s="34">
        <v>0</v>
      </c>
      <c r="AP35" s="31"/>
      <c r="AQ35" s="13"/>
      <c r="AS35">
        <v>12</v>
      </c>
      <c r="AT35" s="13">
        <f t="shared" si="12"/>
        <v>0</v>
      </c>
      <c r="AV35" s="13"/>
      <c r="AW35" s="13"/>
    </row>
    <row r="36" spans="2:49" x14ac:dyDescent="0.25">
      <c r="B36" s="35">
        <v>2</v>
      </c>
      <c r="C36" s="37" t="str">
        <f>B6</f>
        <v>18 0029</v>
      </c>
      <c r="D36" s="36">
        <v>11</v>
      </c>
      <c r="E36" s="36">
        <v>2</v>
      </c>
      <c r="F36" s="38">
        <v>0.55000000000000004</v>
      </c>
      <c r="G36" s="14">
        <f>F36*D36</f>
        <v>6.0500000000000007</v>
      </c>
      <c r="H36" s="39">
        <f>AG6*F36*E36</f>
        <v>7326</v>
      </c>
      <c r="I36" s="13">
        <f>H36/G36</f>
        <v>1210.9090909090908</v>
      </c>
      <c r="J36" s="40">
        <f>G6*D36+((E36-1)*D36*E6)</f>
        <v>56.1</v>
      </c>
      <c r="K36" s="31">
        <f>J36-G36</f>
        <v>50.05</v>
      </c>
      <c r="L36" s="24"/>
      <c r="N36" s="29">
        <v>22</v>
      </c>
      <c r="O36" s="30">
        <v>48.220629693223714</v>
      </c>
      <c r="P36" s="31">
        <f t="shared" si="9"/>
        <v>19.8</v>
      </c>
      <c r="Q36" s="13">
        <f t="shared" si="10"/>
        <v>53.578477436915236</v>
      </c>
      <c r="R36" s="31"/>
      <c r="S36" s="32">
        <v>22</v>
      </c>
      <c r="T36" s="32">
        <v>0</v>
      </c>
      <c r="AG36" s="13"/>
      <c r="AH36" s="13"/>
      <c r="AI36" s="13"/>
      <c r="AJ36" s="13"/>
      <c r="AK36" s="13"/>
      <c r="AL36" s="13"/>
      <c r="AN36" s="33">
        <v>23</v>
      </c>
      <c r="AO36" s="34">
        <v>0</v>
      </c>
      <c r="AP36" s="31"/>
      <c r="AQ36" s="13"/>
      <c r="AS36">
        <v>13</v>
      </c>
      <c r="AT36" s="13">
        <f t="shared" si="12"/>
        <v>0</v>
      </c>
      <c r="AV36" s="13"/>
      <c r="AW36" s="13"/>
    </row>
    <row r="37" spans="2:49" x14ac:dyDescent="0.25">
      <c r="B37" s="35"/>
      <c r="L37" s="24"/>
      <c r="N37" s="29">
        <v>23</v>
      </c>
      <c r="O37" s="30">
        <v>66.451332214994409</v>
      </c>
      <c r="P37" s="31">
        <f t="shared" si="9"/>
        <v>20.7</v>
      </c>
      <c r="Q37" s="13">
        <f t="shared" si="10"/>
        <v>73.834813572216007</v>
      </c>
      <c r="R37" s="31"/>
      <c r="S37" s="32">
        <v>23</v>
      </c>
      <c r="T37" s="32">
        <v>0</v>
      </c>
      <c r="U37">
        <v>0</v>
      </c>
      <c r="AG37" s="13"/>
      <c r="AH37" s="13"/>
      <c r="AI37" s="13"/>
      <c r="AJ37" s="13"/>
      <c r="AK37" s="13"/>
      <c r="AL37" s="13"/>
      <c r="AN37" s="33">
        <v>24</v>
      </c>
      <c r="AO37" s="34">
        <v>0</v>
      </c>
      <c r="AP37" s="31"/>
      <c r="AQ37" s="13"/>
      <c r="AS37">
        <v>14</v>
      </c>
      <c r="AT37" s="13">
        <f t="shared" si="12"/>
        <v>0</v>
      </c>
      <c r="AV37" s="13"/>
      <c r="AW37" s="13"/>
    </row>
    <row r="38" spans="2:49" x14ac:dyDescent="0.25">
      <c r="B38" s="23" t="s">
        <v>96</v>
      </c>
      <c r="C38" s="1" t="s">
        <v>92</v>
      </c>
      <c r="D38" s="1" t="s">
        <v>97</v>
      </c>
      <c r="E38" s="1" t="s">
        <v>98</v>
      </c>
      <c r="F38" s="1" t="s">
        <v>79</v>
      </c>
      <c r="G38" s="1" t="s">
        <v>99</v>
      </c>
      <c r="I38" s="41" t="s">
        <v>100</v>
      </c>
      <c r="J38" s="42">
        <f>SUM(J33:J36)</f>
        <v>163</v>
      </c>
      <c r="K38" s="43">
        <f>SUM(K33:K35)</f>
        <v>73.474999999999994</v>
      </c>
      <c r="L38" s="24"/>
      <c r="N38" s="29">
        <v>24</v>
      </c>
      <c r="O38" s="30">
        <v>90.33296392201197</v>
      </c>
      <c r="P38" s="31">
        <f t="shared" si="9"/>
        <v>21.6</v>
      </c>
      <c r="Q38" s="13">
        <f t="shared" si="10"/>
        <v>100.36995991334663</v>
      </c>
      <c r="R38" s="31"/>
      <c r="S38" s="32">
        <v>24</v>
      </c>
      <c r="T38" s="32">
        <v>123.611570825855</v>
      </c>
      <c r="U38">
        <v>1</v>
      </c>
      <c r="AG38" s="13"/>
      <c r="AH38" s="13"/>
      <c r="AI38" s="13"/>
      <c r="AJ38" s="13"/>
      <c r="AK38" s="13"/>
      <c r="AL38" s="13"/>
      <c r="AN38" s="33">
        <v>25</v>
      </c>
      <c r="AO38" s="34">
        <v>0</v>
      </c>
      <c r="AP38" s="31"/>
      <c r="AQ38" s="13"/>
      <c r="AS38">
        <v>15</v>
      </c>
      <c r="AT38" s="13">
        <f t="shared" si="12"/>
        <v>0</v>
      </c>
      <c r="AV38" s="13"/>
      <c r="AW38" s="13"/>
    </row>
    <row r="39" spans="2:49" x14ac:dyDescent="0.25">
      <c r="B39" s="35">
        <v>0</v>
      </c>
      <c r="C39">
        <v>0</v>
      </c>
      <c r="F39">
        <f>C29</f>
        <v>4</v>
      </c>
      <c r="G39" s="13">
        <v>0</v>
      </c>
      <c r="H39" s="49" t="s">
        <v>103</v>
      </c>
      <c r="L39" s="24"/>
      <c r="N39" s="29">
        <v>25</v>
      </c>
      <c r="O39" s="30">
        <v>121.26758545446886</v>
      </c>
      <c r="P39" s="31">
        <f t="shared" si="9"/>
        <v>22.5</v>
      </c>
      <c r="Q39" s="13">
        <f t="shared" si="10"/>
        <v>134.7417616160765</v>
      </c>
      <c r="R39" t="s">
        <v>172</v>
      </c>
      <c r="S39" s="44">
        <v>25</v>
      </c>
      <c r="T39" s="32">
        <v>286.00685298710999</v>
      </c>
      <c r="U39">
        <v>2</v>
      </c>
      <c r="AE39" s="13"/>
      <c r="AF39" s="13"/>
      <c r="AG39" s="13"/>
      <c r="AH39" s="13"/>
      <c r="AI39" s="13"/>
      <c r="AJ39" s="13"/>
      <c r="AK39" s="13"/>
      <c r="AL39" s="13"/>
      <c r="AN39" s="33">
        <v>26</v>
      </c>
      <c r="AO39" s="34">
        <v>0</v>
      </c>
      <c r="AP39" s="31"/>
      <c r="AQ39" s="13"/>
      <c r="AS39">
        <v>16</v>
      </c>
      <c r="AT39" s="13">
        <f t="shared" si="12"/>
        <v>0</v>
      </c>
      <c r="AV39" s="13"/>
      <c r="AW39" s="13"/>
    </row>
    <row r="40" spans="2:49" x14ac:dyDescent="0.25">
      <c r="B40" s="35" t="s">
        <v>101</v>
      </c>
      <c r="C40">
        <v>0</v>
      </c>
      <c r="F40">
        <f>G33</f>
        <v>25</v>
      </c>
      <c r="G40" s="13">
        <f>C40+(F40-$C$13)*($C$14)</f>
        <v>0</v>
      </c>
      <c r="H40" s="50" t="s">
        <v>104</v>
      </c>
      <c r="J40" s="31"/>
      <c r="L40" s="24"/>
      <c r="N40" s="29">
        <v>26</v>
      </c>
      <c r="O40" s="30">
        <v>160.92601694498035</v>
      </c>
      <c r="P40" s="31">
        <f t="shared" si="9"/>
        <v>23.400000000000002</v>
      </c>
      <c r="Q40" s="13">
        <f t="shared" si="10"/>
        <v>178.8066854944226</v>
      </c>
      <c r="R40" s="31">
        <f>N40-$N$40</f>
        <v>0</v>
      </c>
      <c r="S40" s="44">
        <v>26</v>
      </c>
      <c r="T40" s="32">
        <v>448.40213514836501</v>
      </c>
      <c r="U40">
        <v>3</v>
      </c>
      <c r="AE40" s="13"/>
      <c r="AF40" s="13"/>
      <c r="AG40" s="13"/>
      <c r="AH40" s="13"/>
      <c r="AI40" s="13"/>
      <c r="AJ40" s="13"/>
      <c r="AK40" s="13"/>
      <c r="AL40" s="13"/>
      <c r="AN40" s="33">
        <v>27</v>
      </c>
      <c r="AO40" s="34">
        <v>0</v>
      </c>
      <c r="AP40" s="31"/>
      <c r="AQ40" s="13"/>
      <c r="AS40">
        <v>17</v>
      </c>
      <c r="AT40" s="13">
        <f t="shared" si="12"/>
        <v>0</v>
      </c>
      <c r="AV40" s="13"/>
      <c r="AW40" s="13"/>
    </row>
    <row r="41" spans="2:49" x14ac:dyDescent="0.25">
      <c r="B41" s="35">
        <v>1</v>
      </c>
      <c r="C41" s="13">
        <f>H34</f>
        <v>1409</v>
      </c>
      <c r="D41" s="13">
        <f>I34*I35/(I34+I35)</f>
        <v>217.41526008100601</v>
      </c>
      <c r="E41" s="31">
        <f>C41/D41</f>
        <v>6.4806858519269781</v>
      </c>
      <c r="F41" s="31">
        <f>F40+E41</f>
        <v>31.480685851926978</v>
      </c>
      <c r="G41" s="13">
        <f>C41+(F41-$C$29)*($C$30)</f>
        <v>1409</v>
      </c>
      <c r="H41" s="51" t="s">
        <v>105</v>
      </c>
      <c r="L41" s="24"/>
      <c r="N41" s="29">
        <v>27</v>
      </c>
      <c r="O41" s="30">
        <v>211.28547039381056</v>
      </c>
      <c r="P41" s="31">
        <f t="shared" si="9"/>
        <v>24.3</v>
      </c>
      <c r="Q41" s="13">
        <f t="shared" si="10"/>
        <v>234.7616337709006</v>
      </c>
      <c r="R41" s="31">
        <f t="shared" ref="R41:R54" si="15">N41-$N$40</f>
        <v>1</v>
      </c>
      <c r="S41" s="44">
        <v>27</v>
      </c>
      <c r="T41" s="32">
        <v>610.79741730961996</v>
      </c>
      <c r="U41">
        <v>4</v>
      </c>
      <c r="AE41" s="13"/>
      <c r="AF41" s="13"/>
      <c r="AG41" s="13"/>
      <c r="AH41" s="13"/>
      <c r="AI41" s="13"/>
      <c r="AJ41" s="13"/>
      <c r="AK41" s="13"/>
      <c r="AL41" s="13"/>
      <c r="AN41" s="33">
        <v>28</v>
      </c>
      <c r="AO41" s="34">
        <v>0</v>
      </c>
      <c r="AP41" s="31"/>
      <c r="AQ41" s="13"/>
      <c r="AS41">
        <v>18</v>
      </c>
      <c r="AT41" s="13">
        <f t="shared" si="12"/>
        <v>0</v>
      </c>
      <c r="AV41" s="13"/>
      <c r="AW41" s="13"/>
    </row>
    <row r="42" spans="2:49" x14ac:dyDescent="0.25">
      <c r="B42" s="35">
        <v>2</v>
      </c>
      <c r="C42" s="13">
        <f>H35</f>
        <v>3944</v>
      </c>
      <c r="D42" s="13">
        <f>I35</f>
        <v>1303.8016528925618</v>
      </c>
      <c r="E42" s="31">
        <f>(C42-C41)/D42</f>
        <v>1.9443141480730226</v>
      </c>
      <c r="F42" s="31">
        <f>F41+E42</f>
        <v>33.424999999999997</v>
      </c>
      <c r="G42" s="13">
        <f t="shared" ref="G42:G43" si="16">C42+(F42-$C$29)*($C$30)</f>
        <v>3944</v>
      </c>
      <c r="H42" s="51" t="s">
        <v>106</v>
      </c>
      <c r="L42" s="24"/>
      <c r="N42" s="29">
        <v>28</v>
      </c>
      <c r="O42" s="30">
        <v>274.67066462501327</v>
      </c>
      <c r="P42" s="31">
        <f t="shared" si="9"/>
        <v>25.2</v>
      </c>
      <c r="Q42" s="13">
        <f t="shared" si="10"/>
        <v>305.18962736112587</v>
      </c>
      <c r="R42" s="31">
        <f t="shared" si="15"/>
        <v>2</v>
      </c>
      <c r="S42" s="44">
        <v>28</v>
      </c>
      <c r="T42" s="32">
        <v>773.19269947087503</v>
      </c>
      <c r="U42">
        <v>5</v>
      </c>
      <c r="AE42" s="13"/>
      <c r="AF42" s="13"/>
      <c r="AG42" s="13"/>
      <c r="AH42" s="13"/>
      <c r="AI42" s="13"/>
      <c r="AJ42" s="13"/>
      <c r="AK42" s="13"/>
      <c r="AL42" s="13"/>
      <c r="AN42" s="33">
        <v>29</v>
      </c>
      <c r="AO42" s="34">
        <v>0</v>
      </c>
      <c r="AP42" s="31"/>
      <c r="AQ42" s="13"/>
      <c r="AS42">
        <v>19</v>
      </c>
      <c r="AT42" s="13">
        <f t="shared" si="12"/>
        <v>0</v>
      </c>
      <c r="AV42" s="13"/>
      <c r="AW42" s="13"/>
    </row>
    <row r="43" spans="2:49" x14ac:dyDescent="0.25">
      <c r="B43" s="35">
        <v>3</v>
      </c>
      <c r="C43" s="13">
        <f>H36</f>
        <v>7326</v>
      </c>
      <c r="D43" s="13">
        <f>I36</f>
        <v>1210.9090909090908</v>
      </c>
      <c r="E43" s="31">
        <f>(C43-C42)/D43</f>
        <v>2.7929429429429433</v>
      </c>
      <c r="F43" s="31">
        <f>F42+E43</f>
        <v>36.21794294294294</v>
      </c>
      <c r="G43" s="13">
        <f t="shared" si="16"/>
        <v>7326</v>
      </c>
      <c r="H43" s="51"/>
      <c r="L43" s="24"/>
      <c r="N43" s="29">
        <v>29</v>
      </c>
      <c r="O43" s="30">
        <v>353.79859265071366</v>
      </c>
      <c r="P43" s="31">
        <f t="shared" si="9"/>
        <v>26.1</v>
      </c>
      <c r="Q43" s="13">
        <f t="shared" si="10"/>
        <v>393.10954738968184</v>
      </c>
      <c r="R43" s="31">
        <f t="shared" si="15"/>
        <v>3</v>
      </c>
      <c r="S43" s="44">
        <v>29</v>
      </c>
      <c r="T43" s="32">
        <v>935.58798163212998</v>
      </c>
      <c r="U43">
        <v>6</v>
      </c>
      <c r="AE43" s="13"/>
      <c r="AF43" s="13"/>
      <c r="AG43" s="13"/>
      <c r="AH43" s="13"/>
      <c r="AI43" s="13"/>
      <c r="AJ43" s="13"/>
      <c r="AK43" s="13"/>
      <c r="AL43" s="13"/>
      <c r="AN43" s="33">
        <v>30</v>
      </c>
      <c r="AO43" s="34">
        <v>0</v>
      </c>
      <c r="AP43" s="31"/>
      <c r="AQ43" s="13"/>
      <c r="AS43">
        <v>20</v>
      </c>
      <c r="AT43" s="13">
        <f t="shared" si="12"/>
        <v>0</v>
      </c>
      <c r="AV43" s="13"/>
      <c r="AW43" s="13"/>
    </row>
    <row r="44" spans="2:49" x14ac:dyDescent="0.25"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7"/>
      <c r="N44" s="29">
        <v>30</v>
      </c>
      <c r="O44" s="30">
        <v>451.82711267663359</v>
      </c>
      <c r="P44" s="31">
        <f t="shared" si="9"/>
        <v>27</v>
      </c>
      <c r="Q44" s="13">
        <f t="shared" si="10"/>
        <v>502.03012519625952</v>
      </c>
      <c r="R44" s="31">
        <f t="shared" si="15"/>
        <v>4</v>
      </c>
      <c r="S44" s="44">
        <v>30</v>
      </c>
      <c r="T44" s="32">
        <v>1097.98326379338</v>
      </c>
      <c r="U44">
        <v>7</v>
      </c>
      <c r="AE44" s="13"/>
      <c r="AF44" s="13"/>
      <c r="AG44" s="13"/>
      <c r="AH44" s="13"/>
      <c r="AI44" s="13"/>
      <c r="AJ44" s="13"/>
      <c r="AK44" s="13"/>
      <c r="AL44" s="13"/>
      <c r="AN44" s="33"/>
      <c r="AO44" s="34"/>
      <c r="AP44" s="31"/>
      <c r="AQ44" s="13"/>
      <c r="AS44">
        <v>21</v>
      </c>
      <c r="AT44" s="13">
        <f t="shared" si="12"/>
        <v>0</v>
      </c>
    </row>
    <row r="45" spans="2:49" x14ac:dyDescent="0.25">
      <c r="N45" s="29">
        <v>31</v>
      </c>
      <c r="O45" s="30">
        <v>572.40753534669807</v>
      </c>
      <c r="P45" s="31">
        <f t="shared" si="9"/>
        <v>27.900000000000002</v>
      </c>
      <c r="Q45" s="13">
        <f t="shared" si="10"/>
        <v>636.00837260744231</v>
      </c>
      <c r="R45" s="31">
        <f t="shared" si="15"/>
        <v>5</v>
      </c>
      <c r="S45" s="44">
        <v>31</v>
      </c>
      <c r="T45" s="32">
        <v>1260.37854595464</v>
      </c>
      <c r="U45">
        <v>8</v>
      </c>
      <c r="AE45" s="13"/>
      <c r="AF45" s="13"/>
      <c r="AG45" s="13"/>
      <c r="AH45" s="13"/>
      <c r="AI45" s="13"/>
      <c r="AJ45" s="13"/>
      <c r="AK45" s="13"/>
      <c r="AL45" s="13"/>
      <c r="AN45" s="33"/>
      <c r="AO45" s="34"/>
      <c r="AP45" s="31"/>
      <c r="AQ45" s="13"/>
      <c r="AS45">
        <v>22</v>
      </c>
      <c r="AT45" s="13">
        <f t="shared" si="12"/>
        <v>0</v>
      </c>
    </row>
    <row r="46" spans="2:49" x14ac:dyDescent="0.25">
      <c r="N46" s="29">
        <v>32</v>
      </c>
      <c r="O46" s="30">
        <v>719.74138115076858</v>
      </c>
      <c r="P46" s="31">
        <f t="shared" si="9"/>
        <v>28.8</v>
      </c>
      <c r="Q46" s="13">
        <f t="shared" si="10"/>
        <v>799.71264572307621</v>
      </c>
      <c r="R46" s="31">
        <f t="shared" si="15"/>
        <v>6</v>
      </c>
      <c r="S46" s="44">
        <v>32</v>
      </c>
      <c r="T46" s="32">
        <v>1464.2673995324401</v>
      </c>
      <c r="U46">
        <v>9</v>
      </c>
      <c r="AE46" s="13"/>
      <c r="AF46" s="13"/>
      <c r="AG46" s="13"/>
      <c r="AH46" s="13"/>
      <c r="AI46" s="13"/>
      <c r="AJ46" s="13"/>
      <c r="AK46" s="13"/>
      <c r="AL46" s="13"/>
      <c r="AN46" s="33"/>
      <c r="AO46" s="34"/>
      <c r="AP46" s="31"/>
      <c r="AQ46" s="13"/>
      <c r="AS46">
        <v>23</v>
      </c>
      <c r="AT46" s="13">
        <f t="shared" si="12"/>
        <v>0</v>
      </c>
    </row>
    <row r="47" spans="2:49" x14ac:dyDescent="0.25"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9"/>
      <c r="N47" s="29">
        <v>33</v>
      </c>
      <c r="O47" s="30">
        <v>898.64148320964819</v>
      </c>
      <c r="P47" s="31">
        <f t="shared" si="9"/>
        <v>29.7</v>
      </c>
      <c r="Q47" s="13">
        <f t="shared" si="10"/>
        <v>998.49053689960908</v>
      </c>
      <c r="R47" s="31">
        <f t="shared" si="15"/>
        <v>7</v>
      </c>
      <c r="S47" s="44">
        <v>33</v>
      </c>
      <c r="T47" s="32">
        <v>2015.42148760331</v>
      </c>
      <c r="U47">
        <v>10</v>
      </c>
      <c r="AE47" s="13"/>
      <c r="AF47" s="13"/>
      <c r="AG47" s="13"/>
      <c r="AH47" s="13"/>
      <c r="AI47" s="13"/>
      <c r="AJ47" s="13"/>
      <c r="AK47" s="13"/>
      <c r="AL47" s="13"/>
      <c r="AN47" s="33"/>
      <c r="AO47" s="34"/>
      <c r="AP47" s="31"/>
      <c r="AQ47" s="13"/>
      <c r="AS47">
        <v>24</v>
      </c>
      <c r="AT47" s="13">
        <f t="shared" si="12"/>
        <v>0</v>
      </c>
    </row>
    <row r="48" spans="2:49" x14ac:dyDescent="0.25">
      <c r="B48" s="23" t="s">
        <v>107</v>
      </c>
      <c r="L48" s="24"/>
      <c r="N48" s="29">
        <v>34</v>
      </c>
      <c r="O48" s="30">
        <v>1114.5976119076258</v>
      </c>
      <c r="P48" s="31">
        <f t="shared" si="9"/>
        <v>30.6</v>
      </c>
      <c r="Q48" s="13">
        <f t="shared" si="10"/>
        <v>1238.441791008473</v>
      </c>
      <c r="R48" s="31">
        <f t="shared" si="15"/>
        <v>8</v>
      </c>
      <c r="S48" s="44">
        <v>34</v>
      </c>
      <c r="T48" s="32">
        <v>2574.4297520661198</v>
      </c>
      <c r="U48">
        <v>11</v>
      </c>
      <c r="AE48" s="13"/>
      <c r="AF48" s="13"/>
      <c r="AG48" s="13"/>
      <c r="AH48" s="13"/>
      <c r="AI48" s="13"/>
      <c r="AJ48" s="13"/>
      <c r="AK48" s="13"/>
      <c r="AL48" s="13"/>
      <c r="AN48" s="33"/>
      <c r="AO48" s="34"/>
      <c r="AP48" s="31"/>
      <c r="AQ48" s="13"/>
      <c r="AS48">
        <v>25</v>
      </c>
      <c r="AT48" s="13">
        <f t="shared" si="12"/>
        <v>0</v>
      </c>
    </row>
    <row r="49" spans="2:46" x14ac:dyDescent="0.25">
      <c r="B49" s="23" t="s">
        <v>121</v>
      </c>
      <c r="L49" s="24"/>
      <c r="N49" s="29">
        <v>35</v>
      </c>
      <c r="O49" s="30">
        <v>1373.8467990670038</v>
      </c>
      <c r="P49" s="31">
        <f t="shared" si="9"/>
        <v>31.5</v>
      </c>
      <c r="Q49" s="13">
        <f t="shared" si="10"/>
        <v>1526.496443407782</v>
      </c>
      <c r="R49" s="31">
        <f t="shared" si="15"/>
        <v>9</v>
      </c>
      <c r="S49" s="44">
        <v>35</v>
      </c>
      <c r="T49" s="32">
        <v>3133.4380165289299</v>
      </c>
      <c r="U49">
        <v>12</v>
      </c>
      <c r="AE49" s="13"/>
      <c r="AF49" s="13"/>
      <c r="AG49" s="13"/>
      <c r="AH49" s="13"/>
      <c r="AI49" s="13"/>
      <c r="AJ49" s="13"/>
      <c r="AK49" s="13"/>
      <c r="AL49" s="13"/>
      <c r="AN49" s="33"/>
      <c r="AO49" s="34"/>
      <c r="AP49" s="31"/>
      <c r="AQ49" s="13"/>
      <c r="AS49">
        <v>26</v>
      </c>
      <c r="AT49" s="13">
        <f t="shared" si="12"/>
        <v>0</v>
      </c>
    </row>
    <row r="50" spans="2:46" x14ac:dyDescent="0.25">
      <c r="B50" s="23" t="s">
        <v>108</v>
      </c>
      <c r="L50" s="24"/>
      <c r="N50" s="29">
        <v>36</v>
      </c>
      <c r="O50" s="30">
        <v>1683.4485405529244</v>
      </c>
      <c r="P50" s="31">
        <f t="shared" si="9"/>
        <v>32.4</v>
      </c>
      <c r="Q50" s="13">
        <f t="shared" si="10"/>
        <v>1870.4983783921382</v>
      </c>
      <c r="R50" s="31">
        <f t="shared" si="15"/>
        <v>10</v>
      </c>
      <c r="S50" s="44">
        <v>36</v>
      </c>
      <c r="T50" s="32">
        <v>3692.44628099174</v>
      </c>
      <c r="U50">
        <v>13</v>
      </c>
      <c r="AE50" s="13"/>
      <c r="AF50" s="13"/>
      <c r="AG50" s="13"/>
      <c r="AH50" s="13"/>
      <c r="AI50" s="13"/>
      <c r="AJ50" s="13"/>
      <c r="AK50" s="13"/>
      <c r="AL50" s="13"/>
      <c r="AN50" s="33"/>
      <c r="AO50" s="34"/>
      <c r="AP50" s="31"/>
      <c r="AQ50" s="13"/>
      <c r="AS50">
        <v>27</v>
      </c>
      <c r="AT50" s="13">
        <f t="shared" si="12"/>
        <v>0</v>
      </c>
    </row>
    <row r="51" spans="2:46" x14ac:dyDescent="0.25">
      <c r="B51" s="23"/>
      <c r="C51" s="1"/>
      <c r="D51" s="1"/>
      <c r="E51" s="1"/>
      <c r="F51" s="1"/>
      <c r="G51" s="1"/>
      <c r="H51" s="1"/>
      <c r="I51" s="1"/>
      <c r="J51" s="1"/>
      <c r="K51" s="1"/>
      <c r="L51" s="24"/>
      <c r="N51" s="29">
        <v>37</v>
      </c>
      <c r="O51" s="30">
        <v>2051.3650573622494</v>
      </c>
      <c r="P51" s="52">
        <f t="shared" si="9"/>
        <v>33.300000000000004</v>
      </c>
      <c r="Q51" s="53">
        <f t="shared" si="10"/>
        <v>2279.2945081802773</v>
      </c>
      <c r="R51" s="31">
        <f t="shared" si="15"/>
        <v>11</v>
      </c>
      <c r="S51" s="44">
        <v>37</v>
      </c>
      <c r="T51" s="32">
        <v>4251.4545454545396</v>
      </c>
      <c r="U51">
        <v>14</v>
      </c>
      <c r="AE51" s="13"/>
      <c r="AF51" s="13"/>
      <c r="AG51" s="13"/>
      <c r="AH51" s="13"/>
      <c r="AN51" s="33"/>
      <c r="AO51" s="34"/>
      <c r="AP51" s="31"/>
      <c r="AQ51" s="13"/>
      <c r="AS51">
        <v>28</v>
      </c>
      <c r="AT51" s="13">
        <f t="shared" si="12"/>
        <v>0</v>
      </c>
    </row>
    <row r="52" spans="2:46" x14ac:dyDescent="0.25">
      <c r="B52" s="35"/>
      <c r="G52" s="36"/>
      <c r="L52" s="24"/>
      <c r="N52" s="29">
        <v>38</v>
      </c>
      <c r="O52" s="30">
        <v>2486.5467963886058</v>
      </c>
      <c r="P52" s="31">
        <f t="shared" si="9"/>
        <v>34.200000000000003</v>
      </c>
      <c r="Q52" s="13">
        <f t="shared" si="10"/>
        <v>2762.8297737651174</v>
      </c>
      <c r="R52" s="31">
        <f t="shared" si="15"/>
        <v>12</v>
      </c>
      <c r="S52" s="44">
        <v>38</v>
      </c>
      <c r="T52" s="32">
        <v>4810.4628099173597</v>
      </c>
      <c r="U52">
        <v>15</v>
      </c>
      <c r="AN52" s="33"/>
      <c r="AO52" s="34"/>
      <c r="AP52" s="31"/>
      <c r="AQ52" s="13"/>
      <c r="AS52">
        <v>29</v>
      </c>
      <c r="AT52" s="13">
        <f t="shared" si="12"/>
        <v>0</v>
      </c>
    </row>
    <row r="53" spans="2:46" x14ac:dyDescent="0.25">
      <c r="B53" s="35"/>
      <c r="C53" s="37"/>
      <c r="D53" s="36"/>
      <c r="E53" s="36"/>
      <c r="F53" s="38"/>
      <c r="G53" s="14"/>
      <c r="H53" s="39"/>
      <c r="I53" s="13"/>
      <c r="J53" s="40"/>
      <c r="K53" s="31"/>
      <c r="L53" s="24"/>
      <c r="N53" s="29">
        <v>39</v>
      </c>
      <c r="O53" s="30">
        <v>2999.0233531682784</v>
      </c>
      <c r="P53" s="31">
        <f t="shared" si="9"/>
        <v>35.1</v>
      </c>
      <c r="Q53" s="13">
        <f t="shared" si="10"/>
        <v>3332.248170186976</v>
      </c>
      <c r="R53" s="31">
        <f t="shared" si="15"/>
        <v>13</v>
      </c>
      <c r="S53" s="44">
        <v>39</v>
      </c>
      <c r="T53" s="32">
        <v>5369.4710743801697</v>
      </c>
      <c r="U53">
        <v>16</v>
      </c>
      <c r="AN53" s="33"/>
      <c r="AO53" s="34"/>
      <c r="AP53" s="31"/>
      <c r="AQ53" s="13"/>
      <c r="AS53">
        <v>30</v>
      </c>
      <c r="AT53" s="13">
        <f t="shared" si="12"/>
        <v>0</v>
      </c>
    </row>
    <row r="54" spans="2:46" x14ac:dyDescent="0.25">
      <c r="B54" s="35"/>
      <c r="C54" s="37"/>
      <c r="D54" s="36"/>
      <c r="E54" s="36"/>
      <c r="F54" s="38"/>
      <c r="G54" s="14"/>
      <c r="H54" s="39"/>
      <c r="I54" s="13"/>
      <c r="J54" s="40"/>
      <c r="K54" s="31"/>
      <c r="L54" s="24"/>
      <c r="N54" s="29">
        <v>40</v>
      </c>
      <c r="O54" s="30">
        <v>3600</v>
      </c>
      <c r="P54" s="31">
        <f t="shared" si="9"/>
        <v>36</v>
      </c>
      <c r="Q54" s="13">
        <f t="shared" si="10"/>
        <v>4000</v>
      </c>
      <c r="R54" s="31">
        <f t="shared" si="15"/>
        <v>14</v>
      </c>
      <c r="S54" s="44">
        <v>40</v>
      </c>
      <c r="T54" s="32">
        <v>5928.4793388429798</v>
      </c>
      <c r="U54">
        <v>17</v>
      </c>
      <c r="AN54" s="33"/>
      <c r="AO54" s="34"/>
      <c r="AT54" s="13"/>
    </row>
    <row r="55" spans="2:46" x14ac:dyDescent="0.25">
      <c r="B55" s="35"/>
      <c r="L55" s="24"/>
      <c r="N55" s="29">
        <v>41</v>
      </c>
      <c r="O55" s="30"/>
      <c r="P55" s="31">
        <f t="shared" si="9"/>
        <v>36.9</v>
      </c>
      <c r="Q55" s="13">
        <f t="shared" si="10"/>
        <v>0</v>
      </c>
      <c r="S55" s="44">
        <v>41</v>
      </c>
      <c r="T55" s="32">
        <v>6487.4876033057799</v>
      </c>
      <c r="U55">
        <v>18</v>
      </c>
      <c r="AN55" s="33"/>
      <c r="AO55" s="34"/>
      <c r="AT55" s="13"/>
    </row>
    <row r="56" spans="2:46" x14ac:dyDescent="0.25">
      <c r="B56" s="23"/>
      <c r="C56" s="1"/>
      <c r="D56" s="1"/>
      <c r="E56" s="1"/>
      <c r="F56" s="1"/>
      <c r="G56" s="1"/>
      <c r="I56" s="41"/>
      <c r="J56" s="42"/>
      <c r="K56" s="43"/>
      <c r="L56" s="24"/>
      <c r="N56" s="29">
        <v>42</v>
      </c>
      <c r="O56" s="30"/>
      <c r="P56" s="31">
        <f t="shared" si="9"/>
        <v>37.800000000000004</v>
      </c>
      <c r="Q56" s="13">
        <f t="shared" si="10"/>
        <v>0</v>
      </c>
      <c r="S56" s="44">
        <v>42</v>
      </c>
      <c r="T56" s="32">
        <v>7046.4958677686</v>
      </c>
      <c r="U56">
        <v>19</v>
      </c>
      <c r="V56" s="96" t="s">
        <v>148</v>
      </c>
      <c r="AN56" s="33"/>
      <c r="AO56" s="34"/>
      <c r="AT56" s="13"/>
    </row>
    <row r="57" spans="2:46" x14ac:dyDescent="0.25">
      <c r="B57" s="35"/>
      <c r="G57" s="13"/>
      <c r="L57" s="24"/>
      <c r="N57" s="29">
        <v>43</v>
      </c>
      <c r="O57" s="30"/>
      <c r="P57" s="48">
        <f t="shared" si="9"/>
        <v>38.700000000000003</v>
      </c>
      <c r="Q57" s="46">
        <f t="shared" si="10"/>
        <v>0</v>
      </c>
      <c r="S57" s="44">
        <v>43</v>
      </c>
      <c r="T57" s="32">
        <v>7580.04700416367</v>
      </c>
      <c r="U57">
        <v>20</v>
      </c>
      <c r="V57">
        <v>0</v>
      </c>
      <c r="W57">
        <v>1</v>
      </c>
      <c r="X57">
        <v>2</v>
      </c>
      <c r="Y57">
        <v>3</v>
      </c>
      <c r="Z57">
        <v>4</v>
      </c>
      <c r="AA57">
        <v>5</v>
      </c>
      <c r="AB57">
        <v>6</v>
      </c>
      <c r="AC57">
        <v>7</v>
      </c>
      <c r="AD57">
        <v>8</v>
      </c>
      <c r="AE57">
        <v>9</v>
      </c>
      <c r="AF57">
        <v>10</v>
      </c>
      <c r="AG57">
        <v>11</v>
      </c>
      <c r="AH57">
        <v>12</v>
      </c>
      <c r="AI57">
        <v>13</v>
      </c>
      <c r="AJ57">
        <v>14</v>
      </c>
      <c r="AN57" s="33"/>
      <c r="AO57" s="34"/>
      <c r="AT57" s="13"/>
    </row>
    <row r="58" spans="2:46" x14ac:dyDescent="0.25">
      <c r="B58" s="35"/>
      <c r="G58" s="13"/>
      <c r="J58" s="31"/>
      <c r="L58" s="24"/>
      <c r="N58" s="29">
        <v>44</v>
      </c>
      <c r="O58" s="30"/>
      <c r="P58" s="31">
        <f t="shared" si="9"/>
        <v>39.6</v>
      </c>
      <c r="Q58" s="13">
        <f t="shared" si="10"/>
        <v>0</v>
      </c>
      <c r="S58" s="44"/>
      <c r="T58" s="32"/>
      <c r="V58">
        <v>0</v>
      </c>
      <c r="W58">
        <v>53.981657609999999</v>
      </c>
      <c r="X58">
        <v>215.92663039999999</v>
      </c>
      <c r="Y58">
        <v>442.64959240000002</v>
      </c>
      <c r="Z58">
        <v>690.96521740000003</v>
      </c>
      <c r="AA58">
        <v>944.6790082</v>
      </c>
      <c r="AB58">
        <v>1187.5964670000001</v>
      </c>
      <c r="AC58">
        <v>1430.513927</v>
      </c>
      <c r="AD58">
        <v>1646.4405569999999</v>
      </c>
      <c r="AE58">
        <v>1878.5616849999999</v>
      </c>
      <c r="AF58">
        <v>2159.2663040000002</v>
      </c>
      <c r="AG58">
        <v>2780.0553669999999</v>
      </c>
      <c r="AH58">
        <v>3535.798573</v>
      </c>
      <c r="AI58">
        <v>4307.736277</v>
      </c>
      <c r="AJ58">
        <v>5128.2574729999997</v>
      </c>
      <c r="AN58" s="33"/>
      <c r="AO58" s="34"/>
      <c r="AT58" s="13"/>
    </row>
    <row r="59" spans="2:46" x14ac:dyDescent="0.25">
      <c r="B59" s="35"/>
      <c r="C59" s="13"/>
      <c r="D59" s="13"/>
      <c r="E59" s="31"/>
      <c r="F59" s="31"/>
      <c r="G59" s="13"/>
      <c r="L59" s="24"/>
      <c r="N59" s="29">
        <v>45</v>
      </c>
      <c r="O59" s="30"/>
      <c r="P59" s="52">
        <f t="shared" si="9"/>
        <v>40.5</v>
      </c>
      <c r="Q59" s="53">
        <f t="shared" si="10"/>
        <v>0</v>
      </c>
      <c r="S59" s="44"/>
      <c r="T59" s="32"/>
      <c r="AN59" s="33"/>
      <c r="AO59" s="34"/>
      <c r="AT59" s="13"/>
    </row>
    <row r="60" spans="2:46" x14ac:dyDescent="0.25">
      <c r="B60" s="35"/>
      <c r="C60" s="13"/>
      <c r="D60" s="13"/>
      <c r="E60" s="31"/>
      <c r="F60" s="31"/>
      <c r="G60" s="13"/>
      <c r="L60" s="24"/>
      <c r="N60" s="29">
        <v>46</v>
      </c>
      <c r="O60" s="30"/>
      <c r="P60" s="31">
        <f t="shared" si="9"/>
        <v>41.4</v>
      </c>
      <c r="Q60" s="13">
        <f t="shared" si="10"/>
        <v>0</v>
      </c>
      <c r="S60" s="44"/>
      <c r="T60" s="32"/>
      <c r="Z60" s="132" cm="1">
        <f t="array" ref="Z60:AC60">LINEST(Q40:Q54,R40:R54^{1,2,3})</f>
        <v>1.1233370602176849</v>
      </c>
      <c r="AA60" s="132">
        <v>-1.3876008372315871</v>
      </c>
      <c r="AB60" s="132">
        <v>72.102559778298811</v>
      </c>
      <c r="AC60" s="132">
        <v>167.38488157013273</v>
      </c>
      <c r="AN60" s="33"/>
      <c r="AO60" s="34"/>
      <c r="AT60" s="13"/>
    </row>
    <row r="61" spans="2:46" x14ac:dyDescent="0.25"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7"/>
      <c r="N61" s="29">
        <v>47</v>
      </c>
      <c r="O61" s="30"/>
      <c r="P61" s="31">
        <f t="shared" si="9"/>
        <v>42.300000000000004</v>
      </c>
      <c r="Q61" s="13">
        <f t="shared" si="10"/>
        <v>0</v>
      </c>
      <c r="S61" s="44"/>
      <c r="T61" s="32"/>
      <c r="V61" s="13"/>
      <c r="AN61" s="33"/>
      <c r="AO61" s="34"/>
      <c r="AT61" s="13"/>
    </row>
    <row r="62" spans="2:46" x14ac:dyDescent="0.25">
      <c r="N62" s="29">
        <v>48</v>
      </c>
      <c r="O62" s="30"/>
      <c r="P62" s="31">
        <f t="shared" si="9"/>
        <v>43.2</v>
      </c>
      <c r="Q62" s="13">
        <f t="shared" si="10"/>
        <v>0</v>
      </c>
      <c r="S62" s="44"/>
      <c r="T62" s="32"/>
      <c r="Z62" s="133" t="s">
        <v>174</v>
      </c>
      <c r="AA62" s="133" t="s">
        <v>175</v>
      </c>
      <c r="AB62" s="138" t="s">
        <v>176</v>
      </c>
      <c r="AC62" s="139" t="s">
        <v>171</v>
      </c>
      <c r="AD62" s="138" t="s">
        <v>177</v>
      </c>
      <c r="AE62" s="144" t="s">
        <v>171</v>
      </c>
      <c r="AF62" s="139" t="s">
        <v>173</v>
      </c>
      <c r="AG62" s="13"/>
      <c r="AN62" s="33"/>
      <c r="AO62" s="34"/>
      <c r="AT62" s="13"/>
    </row>
    <row r="63" spans="2:46" x14ac:dyDescent="0.25">
      <c r="N63" s="29">
        <v>49</v>
      </c>
      <c r="O63" s="30"/>
      <c r="P63" s="31">
        <f t="shared" si="9"/>
        <v>44.1</v>
      </c>
      <c r="Q63" s="13">
        <f t="shared" si="10"/>
        <v>0</v>
      </c>
      <c r="S63" s="44"/>
      <c r="T63" s="32"/>
      <c r="V63" s="13"/>
      <c r="Z63" s="134">
        <v>0</v>
      </c>
      <c r="AA63" s="136">
        <v>0</v>
      </c>
      <c r="AB63" s="140">
        <v>0</v>
      </c>
      <c r="AC63" s="141">
        <v>0</v>
      </c>
      <c r="AD63" s="145">
        <v>0</v>
      </c>
      <c r="AE63" s="146">
        <v>0</v>
      </c>
      <c r="AF63" s="141">
        <v>0</v>
      </c>
      <c r="AN63" s="33"/>
      <c r="AO63" s="34"/>
      <c r="AT63" s="13"/>
    </row>
    <row r="64" spans="2:46" x14ac:dyDescent="0.25">
      <c r="N64" s="29">
        <v>50</v>
      </c>
      <c r="O64" s="30"/>
      <c r="P64" s="31">
        <f t="shared" si="9"/>
        <v>45</v>
      </c>
      <c r="Q64" s="13">
        <f t="shared" si="10"/>
        <v>0</v>
      </c>
      <c r="S64" s="44"/>
      <c r="T64" s="32"/>
      <c r="V64" s="13"/>
      <c r="Z64" s="134">
        <v>1</v>
      </c>
      <c r="AA64" s="136" cm="1">
        <f t="array" ref="AA64">SUMPRODUCT(_xlfn.ANCHORARRAY($Z$60),$Z64^{3,2,1,0})*1.06</f>
        <v>253.57656822570272</v>
      </c>
      <c r="AB64" s="140">
        <v>123.611570825855</v>
      </c>
      <c r="AC64" s="141">
        <f t="shared" ref="AC64:AC77" si="17">(AB64-AA64)/AA64</f>
        <v>-0.51252762946207575</v>
      </c>
      <c r="AD64" s="145">
        <v>44.145000000000003</v>
      </c>
      <c r="AE64" s="146">
        <f t="shared" ref="AE64:AE77" si="18">(AD64-AA64)/AA64</f>
        <v>-0.82591057088245012</v>
      </c>
      <c r="AF64" s="141">
        <f t="shared" ref="AF64:AF77" si="19">(AD64-AB64)/AB64</f>
        <v>-0.64287323828129461</v>
      </c>
      <c r="AT64" s="13"/>
    </row>
    <row r="65" spans="16:46" x14ac:dyDescent="0.25">
      <c r="V65" s="13"/>
      <c r="Z65" s="134">
        <v>2</v>
      </c>
      <c r="AA65" s="136" cm="1">
        <f t="array" ref="AA65">SUMPRODUCT(_xlfn.ANCHORARRAY($Z$60),$Z65^{3,2,1,0})*1.06</f>
        <v>333.9278719151182</v>
      </c>
      <c r="AB65" s="140">
        <v>286.00685298710999</v>
      </c>
      <c r="AC65" s="141">
        <f t="shared" si="17"/>
        <v>-0.14350709526933214</v>
      </c>
      <c r="AD65" s="145">
        <v>176.58</v>
      </c>
      <c r="AE65" s="146">
        <f t="shared" si="18"/>
        <v>-0.4712031703514547</v>
      </c>
      <c r="AF65" s="141">
        <f t="shared" si="19"/>
        <v>-0.3826022063605648</v>
      </c>
      <c r="AT65" s="13"/>
    </row>
    <row r="66" spans="16:46" x14ac:dyDescent="0.25">
      <c r="V66" s="13"/>
      <c r="Z66" s="134">
        <v>3</v>
      </c>
      <c r="AA66" s="136" cm="1">
        <f t="array" ref="AA66">SUMPRODUCT(_xlfn.ANCHORARRAY($Z$60),$Z66^{3,2,1,0})*1.06</f>
        <v>425.62630923557174</v>
      </c>
      <c r="AB66" s="140">
        <v>448.40213514836501</v>
      </c>
      <c r="AC66" s="141">
        <f t="shared" si="17"/>
        <v>5.3511320655198293E-2</v>
      </c>
      <c r="AD66" s="145">
        <v>361.98900000000003</v>
      </c>
      <c r="AE66" s="146">
        <f t="shared" si="18"/>
        <v>-0.14951451039261371</v>
      </c>
      <c r="AF66" s="141">
        <f t="shared" si="19"/>
        <v>-0.19271347831511337</v>
      </c>
      <c r="AT66" s="13"/>
    </row>
    <row r="67" spans="16:46" x14ac:dyDescent="0.25">
      <c r="V67" s="13"/>
      <c r="Z67" s="134">
        <v>4</v>
      </c>
      <c r="AA67" s="136" cm="1">
        <f t="array" ref="AA67">SUMPRODUCT(_xlfn.ANCHORARRAY($Z$60),$Z67^{3,2,1,0})*1.06</f>
        <v>535.81630389004772</v>
      </c>
      <c r="AB67" s="140">
        <v>610.79741730961996</v>
      </c>
      <c r="AC67" s="141">
        <f t="shared" si="17"/>
        <v>0.13993809608854074</v>
      </c>
      <c r="AD67" s="145">
        <v>565.05600000000004</v>
      </c>
      <c r="AE67" s="146">
        <f t="shared" si="18"/>
        <v>5.4570374021228843E-2</v>
      </c>
      <c r="AF67" s="141">
        <f t="shared" si="19"/>
        <v>-7.488803327148498E-2</v>
      </c>
      <c r="AQ67" s="13"/>
    </row>
    <row r="68" spans="16:46" x14ac:dyDescent="0.25">
      <c r="V68" s="13"/>
      <c r="Z68" s="134">
        <v>5</v>
      </c>
      <c r="AA68" s="136" cm="1">
        <f t="array" ref="AA68">SUMPRODUCT(_xlfn.ANCHORARRAY($Z$60),$Z68^{3,2,1,0})*1.06</f>
        <v>671.64227958153072</v>
      </c>
      <c r="AB68" s="140">
        <v>773.19269947087503</v>
      </c>
      <c r="AC68" s="141">
        <f t="shared" si="17"/>
        <v>0.15119718185790162</v>
      </c>
      <c r="AD68" s="145">
        <v>772.53750000000002</v>
      </c>
      <c r="AE68" s="146">
        <f t="shared" si="18"/>
        <v>0.15022166335527962</v>
      </c>
      <c r="AF68" s="141">
        <f t="shared" si="19"/>
        <v>-8.4739479734273503E-4</v>
      </c>
      <c r="AQ68" s="13"/>
    </row>
    <row r="69" spans="16:46" x14ac:dyDescent="0.25">
      <c r="V69" s="13"/>
      <c r="Z69" s="134">
        <v>6</v>
      </c>
      <c r="AA69" s="136" cm="1">
        <f t="array" ref="AA69">SUMPRODUCT(_xlfn.ANCHORARRAY($Z$60),$Z69^{3,2,1,0})*1.06</f>
        <v>840.24866001300484</v>
      </c>
      <c r="AB69" s="140">
        <v>935.58798163212998</v>
      </c>
      <c r="AC69" s="141">
        <f t="shared" si="17"/>
        <v>0.11346560388165278</v>
      </c>
      <c r="AD69" s="145">
        <v>971.19000000000017</v>
      </c>
      <c r="AE69" s="146">
        <f t="shared" si="18"/>
        <v>0.15583641631153414</v>
      </c>
      <c r="AF69" s="141">
        <f t="shared" si="19"/>
        <v>3.8053095023476667E-2</v>
      </c>
      <c r="AQ69" s="13"/>
    </row>
    <row r="70" spans="16:46" x14ac:dyDescent="0.25">
      <c r="V70" s="13"/>
      <c r="Z70" s="134">
        <v>7</v>
      </c>
      <c r="AA70" s="136" cm="1">
        <f t="array" ref="AA70">SUMPRODUCT(_xlfn.ANCHORARRAY($Z$60),$Z70^{3,2,1,0})*1.06</f>
        <v>1048.7798688874552</v>
      </c>
      <c r="AB70" s="140">
        <v>1097.98326379338</v>
      </c>
      <c r="AC70" s="141">
        <f t="shared" si="17"/>
        <v>4.691489259621253E-2</v>
      </c>
      <c r="AD70" s="145">
        <v>1169.8425</v>
      </c>
      <c r="AE70" s="146">
        <f t="shared" si="18"/>
        <v>0.11543187918067867</v>
      </c>
      <c r="AF70" s="141">
        <f t="shared" si="19"/>
        <v>6.5446567881514164E-2</v>
      </c>
      <c r="AQ70" s="13"/>
    </row>
    <row r="71" spans="16:46" x14ac:dyDescent="0.25">
      <c r="V71" s="13"/>
      <c r="Z71" s="134">
        <v>8</v>
      </c>
      <c r="AA71" s="136" cm="1">
        <f t="array" ref="AA71">SUMPRODUCT(_xlfn.ANCHORARRAY($Z$60),$Z71^{3,2,1,0})*1.06</f>
        <v>1304.3803299078659</v>
      </c>
      <c r="AB71" s="140">
        <v>1260.37854595464</v>
      </c>
      <c r="AC71" s="141">
        <f t="shared" si="17"/>
        <v>-3.3733860396632863E-2</v>
      </c>
      <c r="AD71" s="145">
        <v>1346.4225000000001</v>
      </c>
      <c r="AE71" s="146">
        <f t="shared" si="18"/>
        <v>3.223152720733214E-2</v>
      </c>
      <c r="AF71" s="141">
        <f t="shared" si="19"/>
        <v>6.8268342333761667E-2</v>
      </c>
      <c r="AQ71" s="13"/>
    </row>
    <row r="72" spans="16:46" x14ac:dyDescent="0.25">
      <c r="V72" s="13"/>
      <c r="Z72" s="134">
        <v>9</v>
      </c>
      <c r="AA72" s="136" cm="1">
        <f t="array" ref="AA72">SUMPRODUCT(_xlfn.ANCHORARRAY($Z$60),$Z72^{3,2,1,0})*1.06</f>
        <v>1614.1944667772209</v>
      </c>
      <c r="AB72" s="140">
        <v>1464.2673995324401</v>
      </c>
      <c r="AC72" s="141">
        <f t="shared" si="17"/>
        <v>-9.2880424465903347E-2</v>
      </c>
      <c r="AD72" s="145">
        <v>1536.2460000000001</v>
      </c>
      <c r="AE72" s="146">
        <f t="shared" si="18"/>
        <v>-4.8289390393492573E-2</v>
      </c>
      <c r="AF72" s="141">
        <f t="shared" si="19"/>
        <v>4.9156732227012438E-2</v>
      </c>
      <c r="AQ72" s="13"/>
    </row>
    <row r="73" spans="16:46" x14ac:dyDescent="0.25">
      <c r="V73" s="13"/>
      <c r="Z73" s="134">
        <v>10</v>
      </c>
      <c r="AA73" s="136" cm="1">
        <f t="array" ref="AA73">SUMPRODUCT(_xlfn.ANCHORARRAY($Z$60),$Z73^{3,2,1,0})*1.06</f>
        <v>1985.3667031985062</v>
      </c>
      <c r="AB73" s="140">
        <v>2015.42148760331</v>
      </c>
      <c r="AC73" s="141">
        <f t="shared" si="17"/>
        <v>1.5138152743462589E-2</v>
      </c>
      <c r="AD73" s="145">
        <v>1765.8</v>
      </c>
      <c r="AE73" s="146">
        <f t="shared" si="18"/>
        <v>-0.11059251817045961</v>
      </c>
      <c r="AF73" s="141">
        <f t="shared" si="19"/>
        <v>-0.12385572404517418</v>
      </c>
      <c r="AT73" s="13"/>
    </row>
    <row r="74" spans="16:46" x14ac:dyDescent="0.25">
      <c r="V74" s="13"/>
      <c r="Z74" s="134">
        <v>11</v>
      </c>
      <c r="AA74" s="136" cm="1">
        <f t="array" ref="AA74">SUMPRODUCT(_xlfn.ANCHORARRAY($Z$60),$Z74^{3,2,1,0})*1.06</f>
        <v>2425.0414628747039</v>
      </c>
      <c r="AB74" s="140">
        <v>2574.4297520661198</v>
      </c>
      <c r="AC74" s="141">
        <f t="shared" si="17"/>
        <v>6.160236494032037E-2</v>
      </c>
      <c r="AD74" s="145">
        <v>2273.4675000000002</v>
      </c>
      <c r="AE74" s="146">
        <f t="shared" si="18"/>
        <v>-6.2503658265300022E-2</v>
      </c>
      <c r="AF74" s="141">
        <f t="shared" si="19"/>
        <v>-0.11690443362246768</v>
      </c>
    </row>
    <row r="75" spans="16:46" x14ac:dyDescent="0.25">
      <c r="Z75" s="134">
        <v>12</v>
      </c>
      <c r="AA75" s="136" cm="1">
        <f t="array" ref="AA75">SUMPRODUCT(_xlfn.ANCHORARRAY($Z$60),$Z75^{3,2,1,0})*1.06</f>
        <v>2940.3631695088011</v>
      </c>
      <c r="AB75" s="140">
        <v>3133.4380165289299</v>
      </c>
      <c r="AC75" s="141">
        <f t="shared" si="17"/>
        <v>6.5663605442446996E-2</v>
      </c>
      <c r="AD75" s="145">
        <v>2891.4974999999999</v>
      </c>
      <c r="AE75" s="146">
        <f t="shared" si="18"/>
        <v>-1.661892313695534E-2</v>
      </c>
      <c r="AF75" s="141">
        <f t="shared" si="19"/>
        <v>-7.7212478834012443E-2</v>
      </c>
    </row>
    <row r="76" spans="16:46" x14ac:dyDescent="0.25">
      <c r="Z76" s="134">
        <v>13</v>
      </c>
      <c r="AA76" s="136" cm="1">
        <f t="array" ref="AA76">SUMPRODUCT(_xlfn.ANCHORARRAY($Z$60),$Z76^{3,2,1,0})*1.06</f>
        <v>3538.4762468037807</v>
      </c>
      <c r="AB76" s="140">
        <v>3692.44628099174</v>
      </c>
      <c r="AC76" s="141">
        <f t="shared" si="17"/>
        <v>4.3513089660284332E-2</v>
      </c>
      <c r="AD76" s="145">
        <v>3522.7710000000002</v>
      </c>
      <c r="AE76" s="146">
        <f t="shared" si="18"/>
        <v>-4.4384208649038267E-3</v>
      </c>
      <c r="AF76" s="141">
        <f t="shared" si="19"/>
        <v>-4.5951997153000516E-2</v>
      </c>
    </row>
    <row r="77" spans="16:46" x14ac:dyDescent="0.25">
      <c r="Z77" s="135">
        <v>14</v>
      </c>
      <c r="AA77" s="137" cm="1">
        <f t="array" ref="AA77">SUMPRODUCT(_xlfn.ANCHORARRAY($Z$60),$Z77^{3,2,1,0})*1.06</f>
        <v>4226.5251184626277</v>
      </c>
      <c r="AB77" s="142">
        <v>4251.4545454545396</v>
      </c>
      <c r="AC77" s="143">
        <f t="shared" si="17"/>
        <v>5.8983269454647939E-3</v>
      </c>
      <c r="AD77" s="147">
        <v>4193.7750000000005</v>
      </c>
      <c r="AE77" s="148">
        <f t="shared" si="18"/>
        <v>-7.7487102394270865E-3</v>
      </c>
      <c r="AF77" s="143">
        <f t="shared" si="19"/>
        <v>-1.3567014497710523E-2</v>
      </c>
    </row>
    <row r="79" spans="16:46" x14ac:dyDescent="0.25">
      <c r="R79" s="31"/>
      <c r="S79" s="31"/>
    </row>
    <row r="80" spans="16:46" x14ac:dyDescent="0.25">
      <c r="P80" s="31">
        <v>0.67595837394759606</v>
      </c>
      <c r="Q80" s="31">
        <v>1.2042036928391424</v>
      </c>
      <c r="R80" s="31">
        <v>2.0553508682757444</v>
      </c>
      <c r="S80" s="31">
        <v>3.3810063030148267</v>
      </c>
      <c r="T80" s="31">
        <v>5.3857992978675711</v>
      </c>
      <c r="U80" s="31">
        <v>8.3404945065392884</v>
      </c>
      <c r="V80" s="31">
        <v>12.597185885310198</v>
      </c>
      <c r="W80" s="31">
        <v>18.606741728108791</v>
      </c>
      <c r="X80" s="31">
        <v>26.938672667845051</v>
      </c>
      <c r="Y80" s="31">
        <v>38.303596708176315</v>
      </c>
      <c r="Z80" s="31">
        <v>53.578477436915236</v>
      </c>
      <c r="AA80" s="31">
        <v>73.834813572216007</v>
      </c>
      <c r="AB80" s="31">
        <v>100.36995991334663</v>
      </c>
      <c r="AC80" s="31">
        <v>134.7417616160765</v>
      </c>
      <c r="AD80" s="31">
        <v>178.8066854944226</v>
      </c>
      <c r="AE80" s="31">
        <v>234.7616337709006</v>
      </c>
      <c r="AF80" s="31">
        <v>305.18962736112587</v>
      </c>
      <c r="AG80" s="31">
        <v>393.10954738968184</v>
      </c>
      <c r="AH80" s="31">
        <v>502.03012519625952</v>
      </c>
      <c r="AI80" s="31">
        <v>636.00837260744231</v>
      </c>
      <c r="AJ80" s="31">
        <v>799.71264572307621</v>
      </c>
      <c r="AK80" s="31">
        <v>998.49053689960908</v>
      </c>
      <c r="AL80" s="31">
        <v>1238.441791008473</v>
      </c>
      <c r="AM80" s="31">
        <v>1526.496443407782</v>
      </c>
      <c r="AN80" s="31">
        <v>1870.4983783921382</v>
      </c>
      <c r="AO80" s="31">
        <v>2279.2945081802773</v>
      </c>
      <c r="AP80" s="31">
        <v>2762.8297737651174</v>
      </c>
      <c r="AQ80" s="31">
        <v>3332.248170186976</v>
      </c>
      <c r="AR80" s="31">
        <v>4000</v>
      </c>
    </row>
    <row r="81" spans="16:52" x14ac:dyDescent="0.25">
      <c r="P81" s="31">
        <v>0</v>
      </c>
      <c r="Q81" s="31">
        <v>0.81000000000000039</v>
      </c>
      <c r="R81" s="31">
        <v>1.619999999999999</v>
      </c>
      <c r="S81" s="31">
        <v>2.4299999999999993</v>
      </c>
      <c r="T81" s="31">
        <v>3.2399999999999998</v>
      </c>
      <c r="U81" s="31">
        <v>4.05</v>
      </c>
      <c r="V81" s="31">
        <v>4.8599999999999985</v>
      </c>
      <c r="W81" s="31">
        <v>5.6700000000000008</v>
      </c>
      <c r="X81" s="31">
        <v>6.4799999999999995</v>
      </c>
      <c r="Y81" s="31">
        <v>7.2900000000000018</v>
      </c>
      <c r="Z81" s="31">
        <v>8.1</v>
      </c>
      <c r="AA81" s="31">
        <v>8.9099999999999984</v>
      </c>
      <c r="AB81" s="31">
        <v>9.7200000000000006</v>
      </c>
      <c r="AC81" s="31">
        <v>10.53</v>
      </c>
      <c r="AD81" s="31">
        <v>11.340000000000002</v>
      </c>
      <c r="AE81" s="31">
        <v>12.15</v>
      </c>
      <c r="AF81" s="31">
        <v>12.959999999999999</v>
      </c>
      <c r="AG81" s="31">
        <v>13.770000000000001</v>
      </c>
      <c r="AH81" s="31">
        <v>14.58</v>
      </c>
      <c r="AI81" s="31">
        <v>15.390000000000002</v>
      </c>
      <c r="AJ81" s="31">
        <v>16.2</v>
      </c>
      <c r="AK81" s="31">
        <v>17.009999999999998</v>
      </c>
      <c r="AL81" s="31">
        <v>17.82</v>
      </c>
      <c r="AM81" s="31">
        <v>18.63</v>
      </c>
      <c r="AN81" s="31">
        <v>19.439999999999998</v>
      </c>
      <c r="AO81" s="31">
        <v>20.250000000000004</v>
      </c>
      <c r="AP81" s="31">
        <v>21.060000000000002</v>
      </c>
      <c r="AQ81" s="31">
        <v>21.87</v>
      </c>
      <c r="AR81" s="31">
        <v>22.68</v>
      </c>
      <c r="AX81" s="131"/>
      <c r="AY81" s="131"/>
      <c r="AZ81" s="131"/>
    </row>
    <row r="82" spans="16:52" x14ac:dyDescent="0.25">
      <c r="R82" s="31"/>
      <c r="S82" s="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  <c r="AP82" s="131"/>
      <c r="AQ82" s="131"/>
      <c r="AR82" s="131"/>
      <c r="AS82" s="131"/>
      <c r="AT82" s="131"/>
      <c r="AU82" s="131"/>
      <c r="AV82" s="131"/>
      <c r="AW82" s="131"/>
      <c r="AX82" s="131"/>
      <c r="AY82" s="131"/>
      <c r="AZ82" s="131"/>
    </row>
    <row r="83" spans="16:52" x14ac:dyDescent="0.25">
      <c r="R83" s="31"/>
      <c r="S83" s="31"/>
      <c r="W83" s="131"/>
      <c r="X83" s="131"/>
    </row>
    <row r="84" spans="16:52" x14ac:dyDescent="0.25">
      <c r="R84" s="31"/>
      <c r="S84" s="31"/>
      <c r="W84" s="131"/>
      <c r="X84" s="131"/>
    </row>
    <row r="85" spans="16:52" x14ac:dyDescent="0.25">
      <c r="R85" s="31"/>
      <c r="S85" s="31"/>
      <c r="W85" s="131"/>
      <c r="X85" s="131"/>
    </row>
    <row r="86" spans="16:52" x14ac:dyDescent="0.25">
      <c r="R86" s="31"/>
      <c r="S86" s="31"/>
      <c r="W86" s="131"/>
      <c r="X86" s="131"/>
    </row>
    <row r="87" spans="16:52" x14ac:dyDescent="0.25">
      <c r="R87" s="31"/>
      <c r="S87" s="31"/>
      <c r="W87" s="131"/>
      <c r="X87" s="131"/>
    </row>
    <row r="88" spans="16:52" x14ac:dyDescent="0.25">
      <c r="R88" s="31"/>
      <c r="S88" s="31"/>
      <c r="W88" s="131"/>
      <c r="X88" s="131"/>
    </row>
    <row r="89" spans="16:52" x14ac:dyDescent="0.25">
      <c r="R89" s="31"/>
      <c r="S89" s="31"/>
      <c r="W89" s="131"/>
      <c r="X89" s="131"/>
    </row>
    <row r="90" spans="16:52" x14ac:dyDescent="0.25">
      <c r="R90" s="31"/>
      <c r="S90" s="31"/>
      <c r="W90" s="131"/>
      <c r="X90" s="131"/>
    </row>
    <row r="91" spans="16:52" x14ac:dyDescent="0.25">
      <c r="R91" s="31"/>
      <c r="S91" s="31"/>
      <c r="W91" s="131"/>
      <c r="X91" s="131"/>
    </row>
    <row r="92" spans="16:52" x14ac:dyDescent="0.25">
      <c r="R92" s="31"/>
      <c r="S92" s="31"/>
      <c r="W92" s="131"/>
      <c r="X92" s="131"/>
    </row>
    <row r="93" spans="16:52" x14ac:dyDescent="0.25">
      <c r="R93" s="31"/>
      <c r="S93" s="31"/>
      <c r="W93" s="131"/>
      <c r="X93" s="131"/>
    </row>
    <row r="94" spans="16:52" x14ac:dyDescent="0.25">
      <c r="R94" s="31"/>
      <c r="S94" s="31"/>
      <c r="W94" s="131"/>
      <c r="X94" s="131"/>
    </row>
    <row r="95" spans="16:52" x14ac:dyDescent="0.25">
      <c r="R95" s="31"/>
      <c r="S95" s="31"/>
      <c r="W95" s="131"/>
      <c r="X95" s="131"/>
    </row>
    <row r="96" spans="16:52" x14ac:dyDescent="0.25">
      <c r="R96" s="31"/>
      <c r="S96" s="31"/>
      <c r="W96" s="131"/>
      <c r="X96" s="131"/>
    </row>
    <row r="97" spans="18:24" x14ac:dyDescent="0.25">
      <c r="R97" s="31"/>
      <c r="S97" s="31"/>
      <c r="W97" s="131"/>
      <c r="X97" s="131"/>
    </row>
    <row r="98" spans="18:24" x14ac:dyDescent="0.25">
      <c r="R98" s="31"/>
      <c r="S98" s="31"/>
      <c r="W98" s="131"/>
      <c r="X98" s="131"/>
    </row>
    <row r="99" spans="18:24" x14ac:dyDescent="0.25">
      <c r="R99" s="31"/>
      <c r="S99" s="31"/>
      <c r="W99" s="131"/>
      <c r="X99" s="131"/>
    </row>
    <row r="100" spans="18:24" x14ac:dyDescent="0.25">
      <c r="R100" s="31"/>
      <c r="S100" s="31"/>
      <c r="W100" s="131"/>
      <c r="X100" s="131"/>
    </row>
    <row r="101" spans="18:24" x14ac:dyDescent="0.25">
      <c r="R101" s="31"/>
      <c r="S101" s="31"/>
      <c r="W101" s="131"/>
      <c r="X101" s="131"/>
    </row>
    <row r="102" spans="18:24" x14ac:dyDescent="0.25">
      <c r="R102" s="31"/>
      <c r="S102" s="31"/>
      <c r="W102" s="131"/>
      <c r="X102" s="131"/>
    </row>
    <row r="103" spans="18:24" x14ac:dyDescent="0.25">
      <c r="R103" s="31"/>
      <c r="S103" s="31"/>
      <c r="W103" s="131"/>
      <c r="X103" s="131"/>
    </row>
    <row r="104" spans="18:24" x14ac:dyDescent="0.25">
      <c r="R104" s="31"/>
      <c r="S104" s="31"/>
      <c r="W104" s="131"/>
      <c r="X104" s="131"/>
    </row>
    <row r="105" spans="18:24" x14ac:dyDescent="0.25">
      <c r="R105" s="31"/>
      <c r="S105" s="31"/>
      <c r="W105" s="131"/>
      <c r="X105" s="131"/>
    </row>
    <row r="106" spans="18:24" x14ac:dyDescent="0.25">
      <c r="R106" s="31"/>
      <c r="S106" s="31"/>
      <c r="W106" s="131"/>
      <c r="X106" s="131"/>
    </row>
    <row r="107" spans="18:24" x14ac:dyDescent="0.25">
      <c r="R107" s="31"/>
      <c r="S107" s="31"/>
      <c r="W107" s="131"/>
      <c r="X107" s="131"/>
    </row>
    <row r="108" spans="18:24" x14ac:dyDescent="0.25">
      <c r="W108" s="131"/>
      <c r="X108" s="131"/>
    </row>
  </sheetData>
  <conditionalFormatting sqref="AF63:AF77 AE63:AE77 AC63:AC77">
    <cfRule type="colorScale" priority="1">
      <colorScale>
        <cfvo type="min"/>
        <cfvo type="percentile" val="50"/>
        <cfvo type="max"/>
        <color rgb="FFFF5050"/>
        <color theme="0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Front_5Hz</vt:lpstr>
      <vt:lpstr>Front_7Hz</vt:lpstr>
      <vt:lpstr>Front_9Hz</vt:lpstr>
      <vt:lpstr>Rear_4Hz</vt:lpstr>
      <vt:lpstr>Rear_6Hz</vt:lpstr>
      <vt:lpstr>Rear_8Hz</vt:lpstr>
      <vt:lpstr>Template</vt:lpstr>
      <vt:lpstr>VI-Grade_settings</vt:lpstr>
      <vt:lpstr>Canopy_Matching</vt:lpstr>
      <vt:lpstr>Rear_6Hz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Matteo.Paganini</cp:lastModifiedBy>
  <dcterms:created xsi:type="dcterms:W3CDTF">2015-06-05T18:17:20Z</dcterms:created>
  <dcterms:modified xsi:type="dcterms:W3CDTF">2021-11-20T00:01:17Z</dcterms:modified>
</cp:coreProperties>
</file>